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5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6.xml" ContentType="application/vnd.openxmlformats-officedocument.drawing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7.xml" ContentType="application/vnd.openxmlformats-officedocument.drawing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8.xml" ContentType="application/vnd.openxmlformats-officedocument.drawing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9.xml" ContentType="application/vnd.openxmlformats-officedocument.drawing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0.xml" ContentType="application/vnd.openxmlformats-officedocument.drawing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11.xml" ContentType="application/vnd.openxmlformats-officedocument.drawing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drawings/drawing12.xml" ContentType="application/vnd.openxmlformats-officedocument.drawing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13.xml" ContentType="application/vnd.openxmlformats-officedocument.drawing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xcel\Desktop\Budget\"/>
    </mc:Choice>
  </mc:AlternateContent>
  <xr:revisionPtr revIDLastSave="0" documentId="13_ncr:1_{AAB5B123-AD0F-4796-8FD0-9B1C08B278E1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YEARLY DASHBOARD" sheetId="1" r:id="rId1"/>
    <sheet name="lists" sheetId="2" state="hidden" r:id="rId2"/>
    <sheet name="JAN" sheetId="3" r:id="rId3"/>
    <sheet name="FEB" sheetId="4" r:id="rId4"/>
    <sheet name="APR" sheetId="5" r:id="rId5"/>
    <sheet name="MAY" sheetId="6" r:id="rId6"/>
    <sheet name="JUN" sheetId="7" r:id="rId7"/>
    <sheet name="JUL" sheetId="8" r:id="rId8"/>
    <sheet name="MAR" sheetId="9" r:id="rId9"/>
    <sheet name="AUG" sheetId="10" r:id="rId10"/>
    <sheet name="SEPT" sheetId="11" r:id="rId11"/>
    <sheet name="OCT" sheetId="12" r:id="rId12"/>
    <sheet name="NOV" sheetId="13" r:id="rId13"/>
    <sheet name="DEC" sheetId="14" r:id="rId14"/>
  </sheets>
  <definedNames>
    <definedName name="_xlnm._FilterDatabase" localSheetId="4" hidden="1">APR!$AN$2:$AP$65</definedName>
    <definedName name="_xlnm._FilterDatabase" localSheetId="9" hidden="1">AUG!$AN$2:$AP$65</definedName>
    <definedName name="_xlnm._FilterDatabase" localSheetId="13" hidden="1">DEC!$AN$2:$AP$65</definedName>
    <definedName name="_xlnm._FilterDatabase" localSheetId="3" hidden="1">FEB!$AN$2:$AP$65</definedName>
    <definedName name="_xlnm._FilterDatabase" localSheetId="2" hidden="1">JAN!$AN$2:$AP$65</definedName>
    <definedName name="_xlnm._FilterDatabase" localSheetId="7" hidden="1">JUL!$AN$2:$AP$65</definedName>
    <definedName name="_xlnm._FilterDatabase" localSheetId="6" hidden="1">JUN!$AN$2:$AP$65</definedName>
    <definedName name="_xlnm._FilterDatabase" localSheetId="8" hidden="1">MAR!$AN$2:$AP$65</definedName>
    <definedName name="_xlnm._FilterDatabase" localSheetId="5" hidden="1">MAY!$AN$2:$AP$65</definedName>
    <definedName name="_xlnm._FilterDatabase" localSheetId="12" hidden="1">NOV!$AN$2:$AP$65</definedName>
    <definedName name="_xlnm._FilterDatabase" localSheetId="11" hidden="1">OCT!$AN$2:$AP$65</definedName>
    <definedName name="_xlnm._FilterDatabase" localSheetId="10" hidden="1">SEPT!$AN$2:$AP$65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18" roundtripDataChecksum="tvbE29pbwkF23bkDWDOCQz5WYmRoMmXaCVZvZ24dgFs="/>
    </ext>
  </extLst>
</workbook>
</file>

<file path=xl/calcChain.xml><?xml version="1.0" encoding="utf-8"?>
<calcChain xmlns="http://schemas.openxmlformats.org/spreadsheetml/2006/main">
  <c r="AP65" i="14" l="1"/>
  <c r="AN65" i="14"/>
  <c r="AN64" i="14"/>
  <c r="AP64" i="14" s="1"/>
  <c r="AN63" i="14"/>
  <c r="AP63" i="14" s="1"/>
  <c r="AN62" i="14"/>
  <c r="AP62" i="14" s="1"/>
  <c r="AP61" i="14"/>
  <c r="AN61" i="14"/>
  <c r="AN60" i="14"/>
  <c r="AP60" i="14" s="1"/>
  <c r="AN59" i="14"/>
  <c r="AP59" i="14" s="1"/>
  <c r="AN58" i="14"/>
  <c r="AP58" i="14" s="1"/>
  <c r="AP57" i="14"/>
  <c r="AN57" i="14"/>
  <c r="AN56" i="14"/>
  <c r="AP56" i="14" s="1"/>
  <c r="AN55" i="14"/>
  <c r="AP55" i="14" s="1"/>
  <c r="AN54" i="14"/>
  <c r="AP54" i="14" s="1"/>
  <c r="AP53" i="14"/>
  <c r="AN53" i="14"/>
  <c r="AN52" i="14"/>
  <c r="AP52" i="14" s="1"/>
  <c r="AN51" i="14"/>
  <c r="AP51" i="14" s="1"/>
  <c r="AN50" i="14"/>
  <c r="AP50" i="14" s="1"/>
  <c r="AP49" i="14"/>
  <c r="AN49" i="14"/>
  <c r="AN48" i="14"/>
  <c r="AP48" i="14" s="1"/>
  <c r="AN47" i="14"/>
  <c r="AP47" i="14" s="1"/>
  <c r="AN46" i="14"/>
  <c r="AP46" i="14" s="1"/>
  <c r="AP45" i="14"/>
  <c r="AN45" i="14"/>
  <c r="AN44" i="14"/>
  <c r="AP44" i="14" s="1"/>
  <c r="AN43" i="14"/>
  <c r="AP43" i="14" s="1"/>
  <c r="AN42" i="14"/>
  <c r="AP42" i="14" s="1"/>
  <c r="AP41" i="14"/>
  <c r="AN41" i="14"/>
  <c r="AN40" i="14"/>
  <c r="AP40" i="14" s="1"/>
  <c r="AN39" i="14"/>
  <c r="AP39" i="14" s="1"/>
  <c r="AN38" i="14"/>
  <c r="AP38" i="14" s="1"/>
  <c r="X38" i="14"/>
  <c r="S38" i="14"/>
  <c r="N38" i="14"/>
  <c r="I38" i="14"/>
  <c r="AP37" i="14"/>
  <c r="AN37" i="14"/>
  <c r="X37" i="14"/>
  <c r="S37" i="14"/>
  <c r="N37" i="14"/>
  <c r="I37" i="14"/>
  <c r="AN36" i="14"/>
  <c r="AP36" i="14" s="1"/>
  <c r="X36" i="14"/>
  <c r="S36" i="14"/>
  <c r="N36" i="14"/>
  <c r="I36" i="14"/>
  <c r="AN35" i="14"/>
  <c r="AP35" i="14" s="1"/>
  <c r="X35" i="14"/>
  <c r="S35" i="14"/>
  <c r="N35" i="14"/>
  <c r="I35" i="14"/>
  <c r="AN34" i="14"/>
  <c r="AP34" i="14" s="1"/>
  <c r="X34" i="14"/>
  <c r="S34" i="14"/>
  <c r="N34" i="14"/>
  <c r="I34" i="14"/>
  <c r="AP33" i="14"/>
  <c r="AN33" i="14"/>
  <c r="X33" i="14"/>
  <c r="S33" i="14"/>
  <c r="N33" i="14"/>
  <c r="I33" i="14"/>
  <c r="AN32" i="14"/>
  <c r="AP32" i="14" s="1"/>
  <c r="X32" i="14"/>
  <c r="S32" i="14"/>
  <c r="N32" i="14"/>
  <c r="I32" i="14"/>
  <c r="AN31" i="14"/>
  <c r="AP31" i="14" s="1"/>
  <c r="X31" i="14"/>
  <c r="S31" i="14"/>
  <c r="N31" i="14"/>
  <c r="I31" i="14"/>
  <c r="AN30" i="14"/>
  <c r="AP30" i="14" s="1"/>
  <c r="X30" i="14"/>
  <c r="S30" i="14"/>
  <c r="N30" i="14"/>
  <c r="I30" i="14"/>
  <c r="AP29" i="14"/>
  <c r="AN29" i="14"/>
  <c r="X29" i="14"/>
  <c r="S29" i="14"/>
  <c r="N29" i="14"/>
  <c r="I29" i="14"/>
  <c r="AN28" i="14"/>
  <c r="AP28" i="14" s="1"/>
  <c r="X28" i="14"/>
  <c r="S28" i="14"/>
  <c r="N28" i="14"/>
  <c r="I28" i="14"/>
  <c r="AN27" i="14"/>
  <c r="AP27" i="14" s="1"/>
  <c r="X27" i="14"/>
  <c r="S27" i="14"/>
  <c r="N27" i="14"/>
  <c r="I27" i="14"/>
  <c r="AN26" i="14"/>
  <c r="AP26" i="14" s="1"/>
  <c r="X26" i="14"/>
  <c r="S26" i="14"/>
  <c r="N26" i="14"/>
  <c r="I26" i="14"/>
  <c r="AP25" i="14"/>
  <c r="AN25" i="14"/>
  <c r="X25" i="14"/>
  <c r="S25" i="14"/>
  <c r="N25" i="14"/>
  <c r="I25" i="14"/>
  <c r="AN24" i="14"/>
  <c r="AP24" i="14" s="1"/>
  <c r="X24" i="14"/>
  <c r="S24" i="14"/>
  <c r="N24" i="14"/>
  <c r="I24" i="14"/>
  <c r="AN23" i="14"/>
  <c r="AP23" i="14" s="1"/>
  <c r="X23" i="14"/>
  <c r="S23" i="14"/>
  <c r="N23" i="14"/>
  <c r="I23" i="14"/>
  <c r="AN22" i="14"/>
  <c r="AP22" i="14" s="1"/>
  <c r="AP21" i="14"/>
  <c r="AN21" i="14"/>
  <c r="AN20" i="14"/>
  <c r="AP20" i="14" s="1"/>
  <c r="AN19" i="14"/>
  <c r="AP19" i="14" s="1"/>
  <c r="AN18" i="14"/>
  <c r="AP18" i="14" s="1"/>
  <c r="AN17" i="14"/>
  <c r="AP17" i="14" s="1"/>
  <c r="AN16" i="14"/>
  <c r="AP16" i="14" s="1"/>
  <c r="AN15" i="14"/>
  <c r="AP15" i="14" s="1"/>
  <c r="D15" i="14"/>
  <c r="C15" i="14"/>
  <c r="AN14" i="14"/>
  <c r="AP14" i="14" s="1"/>
  <c r="D14" i="14"/>
  <c r="C14" i="14"/>
  <c r="AP13" i="14"/>
  <c r="AN13" i="14"/>
  <c r="D13" i="14"/>
  <c r="C13" i="14"/>
  <c r="AN12" i="14"/>
  <c r="AP12" i="14" s="1"/>
  <c r="D12" i="14"/>
  <c r="C12" i="14"/>
  <c r="AN11" i="14"/>
  <c r="AP11" i="14" s="1"/>
  <c r="D11" i="14"/>
  <c r="C11" i="14"/>
  <c r="C16" i="14" s="1"/>
  <c r="AN10" i="14"/>
  <c r="AP10" i="14" s="1"/>
  <c r="AN9" i="14"/>
  <c r="AP9" i="14" s="1"/>
  <c r="AN8" i="14"/>
  <c r="AP8" i="14" s="1"/>
  <c r="AP7" i="14"/>
  <c r="AN7" i="14"/>
  <c r="AP6" i="14"/>
  <c r="AN6" i="14"/>
  <c r="AN5" i="14"/>
  <c r="AP5" i="14" s="1"/>
  <c r="AN4" i="14"/>
  <c r="AP4" i="14" s="1"/>
  <c r="AM4" i="14" s="1"/>
  <c r="V4" i="14"/>
  <c r="R4" i="14"/>
  <c r="N4" i="14"/>
  <c r="J4" i="14"/>
  <c r="F4" i="14"/>
  <c r="AN3" i="14"/>
  <c r="AP3" i="14" s="1"/>
  <c r="AM59" i="14" s="1"/>
  <c r="AM3" i="14"/>
  <c r="AP65" i="13"/>
  <c r="AN65" i="13"/>
  <c r="AN64" i="13"/>
  <c r="AP64" i="13" s="1"/>
  <c r="AN63" i="13"/>
  <c r="AP63" i="13" s="1"/>
  <c r="AN62" i="13"/>
  <c r="AP62" i="13" s="1"/>
  <c r="AP61" i="13"/>
  <c r="AN61" i="13"/>
  <c r="AP60" i="13"/>
  <c r="AN60" i="13"/>
  <c r="AN59" i="13"/>
  <c r="AP59" i="13" s="1"/>
  <c r="AN58" i="13"/>
  <c r="AP58" i="13" s="1"/>
  <c r="AP57" i="13"/>
  <c r="AN57" i="13"/>
  <c r="AP56" i="13"/>
  <c r="AM56" i="13" s="1"/>
  <c r="AN56" i="13"/>
  <c r="AN55" i="13"/>
  <c r="AP55" i="13" s="1"/>
  <c r="AN54" i="13"/>
  <c r="AP54" i="13" s="1"/>
  <c r="AM54" i="13"/>
  <c r="AP53" i="13"/>
  <c r="AN53" i="13"/>
  <c r="AN52" i="13"/>
  <c r="AP52" i="13" s="1"/>
  <c r="AN51" i="13"/>
  <c r="AP51" i="13" s="1"/>
  <c r="AN50" i="13"/>
  <c r="AP50" i="13" s="1"/>
  <c r="AP49" i="13"/>
  <c r="AN49" i="13"/>
  <c r="AN48" i="13"/>
  <c r="AP48" i="13" s="1"/>
  <c r="AN47" i="13"/>
  <c r="AP47" i="13" s="1"/>
  <c r="AN46" i="13"/>
  <c r="AP46" i="13" s="1"/>
  <c r="AP45" i="13"/>
  <c r="AN45" i="13"/>
  <c r="AP44" i="13"/>
  <c r="AN44" i="13"/>
  <c r="AN43" i="13"/>
  <c r="AP43" i="13" s="1"/>
  <c r="AN42" i="13"/>
  <c r="AP42" i="13" s="1"/>
  <c r="AP41" i="13"/>
  <c r="AN41" i="13"/>
  <c r="AP40" i="13"/>
  <c r="AN40" i="13"/>
  <c r="AN39" i="13"/>
  <c r="AP39" i="13" s="1"/>
  <c r="AN38" i="13"/>
  <c r="AP38" i="13" s="1"/>
  <c r="AM38" i="13" s="1"/>
  <c r="X38" i="13"/>
  <c r="S38" i="13"/>
  <c r="N38" i="13"/>
  <c r="I38" i="13"/>
  <c r="AP37" i="13"/>
  <c r="AN37" i="13"/>
  <c r="X37" i="13"/>
  <c r="S37" i="13"/>
  <c r="N37" i="13"/>
  <c r="I37" i="13"/>
  <c r="AP36" i="13"/>
  <c r="AN36" i="13"/>
  <c r="X36" i="13"/>
  <c r="S36" i="13"/>
  <c r="N36" i="13"/>
  <c r="I36" i="13"/>
  <c r="AN35" i="13"/>
  <c r="AP35" i="13" s="1"/>
  <c r="X35" i="13"/>
  <c r="S35" i="13"/>
  <c r="N35" i="13"/>
  <c r="I35" i="13"/>
  <c r="AN34" i="13"/>
  <c r="AP34" i="13" s="1"/>
  <c r="X34" i="13"/>
  <c r="S34" i="13"/>
  <c r="N34" i="13"/>
  <c r="I34" i="13"/>
  <c r="AP33" i="13"/>
  <c r="AN33" i="13"/>
  <c r="X33" i="13"/>
  <c r="S33" i="13"/>
  <c r="N33" i="13"/>
  <c r="I33" i="13"/>
  <c r="AN32" i="13"/>
  <c r="AP32" i="13" s="1"/>
  <c r="X32" i="13"/>
  <c r="S32" i="13"/>
  <c r="N32" i="13"/>
  <c r="I32" i="13"/>
  <c r="AN31" i="13"/>
  <c r="AP31" i="13" s="1"/>
  <c r="X31" i="13"/>
  <c r="S31" i="13"/>
  <c r="N31" i="13"/>
  <c r="I31" i="13"/>
  <c r="AN30" i="13"/>
  <c r="AP30" i="13" s="1"/>
  <c r="X30" i="13"/>
  <c r="S30" i="13"/>
  <c r="N30" i="13"/>
  <c r="I30" i="13"/>
  <c r="AP29" i="13"/>
  <c r="AN29" i="13"/>
  <c r="X29" i="13"/>
  <c r="S29" i="13"/>
  <c r="N29" i="13"/>
  <c r="I29" i="13"/>
  <c r="AP28" i="13"/>
  <c r="AN28" i="13"/>
  <c r="X28" i="13"/>
  <c r="S28" i="13"/>
  <c r="N28" i="13"/>
  <c r="I28" i="13"/>
  <c r="AN27" i="13"/>
  <c r="AP27" i="13" s="1"/>
  <c r="X27" i="13"/>
  <c r="S27" i="13"/>
  <c r="N27" i="13"/>
  <c r="I27" i="13"/>
  <c r="AN26" i="13"/>
  <c r="AP26" i="13" s="1"/>
  <c r="X26" i="13"/>
  <c r="S26" i="13"/>
  <c r="N26" i="13"/>
  <c r="I26" i="13"/>
  <c r="AP25" i="13"/>
  <c r="AN25" i="13"/>
  <c r="X25" i="13"/>
  <c r="S25" i="13"/>
  <c r="N25" i="13"/>
  <c r="I25" i="13"/>
  <c r="AP24" i="13"/>
  <c r="AN24" i="13"/>
  <c r="X24" i="13"/>
  <c r="S24" i="13"/>
  <c r="N24" i="13"/>
  <c r="I24" i="13"/>
  <c r="AN23" i="13"/>
  <c r="AP23" i="13" s="1"/>
  <c r="X23" i="13"/>
  <c r="S23" i="13"/>
  <c r="N23" i="13"/>
  <c r="I23" i="13"/>
  <c r="AN22" i="13"/>
  <c r="AP22" i="13" s="1"/>
  <c r="AP21" i="13"/>
  <c r="AN21" i="13"/>
  <c r="AP20" i="13"/>
  <c r="AN20" i="13"/>
  <c r="AN19" i="13"/>
  <c r="AP19" i="13" s="1"/>
  <c r="AN18" i="13"/>
  <c r="AP18" i="13" s="1"/>
  <c r="AN17" i="13"/>
  <c r="AP17" i="13" s="1"/>
  <c r="AP16" i="13"/>
  <c r="AM16" i="13" s="1"/>
  <c r="AN16" i="13"/>
  <c r="D16" i="13"/>
  <c r="AN15" i="13"/>
  <c r="AP15" i="13" s="1"/>
  <c r="AM15" i="13"/>
  <c r="D15" i="13"/>
  <c r="C15" i="13"/>
  <c r="AN14" i="13"/>
  <c r="AP14" i="13" s="1"/>
  <c r="AM14" i="13"/>
  <c r="D14" i="13"/>
  <c r="C14" i="13"/>
  <c r="AP13" i="13"/>
  <c r="AN13" i="13"/>
  <c r="D13" i="13"/>
  <c r="C13" i="13"/>
  <c r="AP12" i="13"/>
  <c r="AN12" i="13"/>
  <c r="D12" i="13"/>
  <c r="C12" i="13"/>
  <c r="AN11" i="13"/>
  <c r="AP11" i="13" s="1"/>
  <c r="D11" i="13"/>
  <c r="C11" i="13"/>
  <c r="C16" i="13" s="1"/>
  <c r="AN10" i="13"/>
  <c r="AP10" i="13" s="1"/>
  <c r="AN9" i="13"/>
  <c r="AP9" i="13" s="1"/>
  <c r="AM9" i="13" s="1"/>
  <c r="AP8" i="13"/>
  <c r="AN8" i="13"/>
  <c r="AP7" i="13"/>
  <c r="AN7" i="13"/>
  <c r="AN6" i="13"/>
  <c r="AP6" i="13" s="1"/>
  <c r="AN5" i="13"/>
  <c r="AP5" i="13" s="1"/>
  <c r="AM5" i="13" s="1"/>
  <c r="AN4" i="13"/>
  <c r="AP4" i="13" s="1"/>
  <c r="V4" i="13"/>
  <c r="R4" i="13"/>
  <c r="N4" i="13"/>
  <c r="J4" i="13"/>
  <c r="F4" i="13"/>
  <c r="AN3" i="13"/>
  <c r="AP3" i="13" s="1"/>
  <c r="AP65" i="12"/>
  <c r="AN65" i="12"/>
  <c r="AN64" i="12"/>
  <c r="AP64" i="12" s="1"/>
  <c r="AP63" i="12"/>
  <c r="AN63" i="12"/>
  <c r="AN62" i="12"/>
  <c r="AP62" i="12" s="1"/>
  <c r="AP61" i="12"/>
  <c r="AN61" i="12"/>
  <c r="AP60" i="12"/>
  <c r="AN60" i="12"/>
  <c r="AN59" i="12"/>
  <c r="AP59" i="12" s="1"/>
  <c r="AN58" i="12"/>
  <c r="AP58" i="12" s="1"/>
  <c r="AP57" i="12"/>
  <c r="AN57" i="12"/>
  <c r="AN56" i="12"/>
  <c r="AP56" i="12" s="1"/>
  <c r="AP55" i="12"/>
  <c r="AN55" i="12"/>
  <c r="AP54" i="12"/>
  <c r="AN54" i="12"/>
  <c r="AN53" i="12"/>
  <c r="AP53" i="12" s="1"/>
  <c r="AP52" i="12"/>
  <c r="AN52" i="12"/>
  <c r="AP51" i="12"/>
  <c r="AN51" i="12"/>
  <c r="AP50" i="12"/>
  <c r="AN50" i="12"/>
  <c r="AN49" i="12"/>
  <c r="AP49" i="12" s="1"/>
  <c r="AP48" i="12"/>
  <c r="AN48" i="12"/>
  <c r="AP47" i="12"/>
  <c r="AN47" i="12"/>
  <c r="AP46" i="12"/>
  <c r="AN46" i="12"/>
  <c r="AN45" i="12"/>
  <c r="AP45" i="12" s="1"/>
  <c r="AP44" i="12"/>
  <c r="AN44" i="12"/>
  <c r="AN43" i="12"/>
  <c r="AP43" i="12" s="1"/>
  <c r="AP42" i="12"/>
  <c r="AN42" i="12"/>
  <c r="AN41" i="12"/>
  <c r="AP41" i="12" s="1"/>
  <c r="AP40" i="12"/>
  <c r="AN40" i="12"/>
  <c r="AP39" i="12"/>
  <c r="AN39" i="12"/>
  <c r="AP38" i="12"/>
  <c r="AN38" i="12"/>
  <c r="X38" i="12"/>
  <c r="S38" i="12"/>
  <c r="N38" i="12"/>
  <c r="I38" i="12"/>
  <c r="AN37" i="12"/>
  <c r="AP37" i="12" s="1"/>
  <c r="X37" i="12"/>
  <c r="S37" i="12"/>
  <c r="N37" i="12"/>
  <c r="I37" i="12"/>
  <c r="AP36" i="12"/>
  <c r="AN36" i="12"/>
  <c r="X36" i="12"/>
  <c r="S36" i="12"/>
  <c r="N36" i="12"/>
  <c r="I36" i="12"/>
  <c r="AN35" i="12"/>
  <c r="AP35" i="12" s="1"/>
  <c r="X35" i="12"/>
  <c r="S35" i="12"/>
  <c r="N35" i="12"/>
  <c r="I35" i="12"/>
  <c r="AP34" i="12"/>
  <c r="AN34" i="12"/>
  <c r="X34" i="12"/>
  <c r="S34" i="12"/>
  <c r="N34" i="12"/>
  <c r="I34" i="12"/>
  <c r="AN33" i="12"/>
  <c r="AP33" i="12" s="1"/>
  <c r="X33" i="12"/>
  <c r="S33" i="12"/>
  <c r="N33" i="12"/>
  <c r="I33" i="12"/>
  <c r="AP32" i="12"/>
  <c r="AN32" i="12"/>
  <c r="X32" i="12"/>
  <c r="S32" i="12"/>
  <c r="N32" i="12"/>
  <c r="I32" i="12"/>
  <c r="AP31" i="12"/>
  <c r="AN31" i="12"/>
  <c r="X31" i="12"/>
  <c r="S31" i="12"/>
  <c r="N31" i="12"/>
  <c r="I31" i="12"/>
  <c r="AN30" i="12"/>
  <c r="AP30" i="12" s="1"/>
  <c r="X30" i="12"/>
  <c r="S30" i="12"/>
  <c r="N30" i="12"/>
  <c r="I30" i="12"/>
  <c r="AN29" i="12"/>
  <c r="AP29" i="12" s="1"/>
  <c r="X29" i="12"/>
  <c r="S29" i="12"/>
  <c r="N29" i="12"/>
  <c r="I29" i="12"/>
  <c r="AP28" i="12"/>
  <c r="AN28" i="12"/>
  <c r="X28" i="12"/>
  <c r="S28" i="12"/>
  <c r="N28" i="12"/>
  <c r="I28" i="12"/>
  <c r="AN27" i="12"/>
  <c r="AP27" i="12" s="1"/>
  <c r="X27" i="12"/>
  <c r="S27" i="12"/>
  <c r="N27" i="12"/>
  <c r="I27" i="12"/>
  <c r="AP26" i="12"/>
  <c r="AN26" i="12"/>
  <c r="X26" i="12"/>
  <c r="S26" i="12"/>
  <c r="N26" i="12"/>
  <c r="I26" i="12"/>
  <c r="AN25" i="12"/>
  <c r="AP25" i="12" s="1"/>
  <c r="X25" i="12"/>
  <c r="S25" i="12"/>
  <c r="N25" i="12"/>
  <c r="I25" i="12"/>
  <c r="AP24" i="12"/>
  <c r="AN24" i="12"/>
  <c r="X24" i="12"/>
  <c r="S24" i="12"/>
  <c r="N24" i="12"/>
  <c r="I24" i="12"/>
  <c r="AP23" i="12"/>
  <c r="AN23" i="12"/>
  <c r="X23" i="12"/>
  <c r="S23" i="12"/>
  <c r="N23" i="12"/>
  <c r="I23" i="12"/>
  <c r="AN22" i="12"/>
  <c r="AP22" i="12" s="1"/>
  <c r="AN21" i="12"/>
  <c r="AP21" i="12" s="1"/>
  <c r="AP20" i="12"/>
  <c r="AN20" i="12"/>
  <c r="AP19" i="12"/>
  <c r="AN19" i="12"/>
  <c r="AP18" i="12"/>
  <c r="AN18" i="12"/>
  <c r="AP17" i="12"/>
  <c r="AN17" i="12"/>
  <c r="AP16" i="12"/>
  <c r="AN16" i="12"/>
  <c r="AP15" i="12"/>
  <c r="AN15" i="12"/>
  <c r="D15" i="12"/>
  <c r="C15" i="12"/>
  <c r="AP14" i="12"/>
  <c r="AN14" i="12"/>
  <c r="D14" i="12"/>
  <c r="C14" i="12"/>
  <c r="AN13" i="12"/>
  <c r="AP13" i="12" s="1"/>
  <c r="D13" i="12"/>
  <c r="C13" i="12"/>
  <c r="AP12" i="12"/>
  <c r="AN12" i="12"/>
  <c r="D12" i="12"/>
  <c r="C12" i="12"/>
  <c r="AN11" i="12"/>
  <c r="AP11" i="12" s="1"/>
  <c r="D11" i="12"/>
  <c r="C11" i="12"/>
  <c r="AP10" i="12"/>
  <c r="AN10" i="12"/>
  <c r="AP9" i="12"/>
  <c r="AN9" i="12"/>
  <c r="AP8" i="12"/>
  <c r="AN8" i="12"/>
  <c r="AN7" i="12"/>
  <c r="AP7" i="12" s="1"/>
  <c r="AP6" i="12"/>
  <c r="AN6" i="12"/>
  <c r="AP5" i="12"/>
  <c r="AN5" i="12"/>
  <c r="AP4" i="12"/>
  <c r="AN4" i="12"/>
  <c r="AM4" i="12"/>
  <c r="V4" i="12"/>
  <c r="R4" i="12"/>
  <c r="N4" i="12"/>
  <c r="J4" i="12"/>
  <c r="F4" i="12"/>
  <c r="AP3" i="12"/>
  <c r="AN3" i="12"/>
  <c r="AM3" i="12"/>
  <c r="AN65" i="11"/>
  <c r="AP65" i="11" s="1"/>
  <c r="AP64" i="11"/>
  <c r="AN64" i="11"/>
  <c r="AP63" i="11"/>
  <c r="AN63" i="11"/>
  <c r="AP62" i="11"/>
  <c r="AN62" i="11"/>
  <c r="AN61" i="11"/>
  <c r="AP61" i="11" s="1"/>
  <c r="AP60" i="11"/>
  <c r="AN60" i="11"/>
  <c r="AP59" i="11"/>
  <c r="AN59" i="11"/>
  <c r="AP58" i="11"/>
  <c r="AN58" i="11"/>
  <c r="AN57" i="11"/>
  <c r="AP57" i="11" s="1"/>
  <c r="AP56" i="11"/>
  <c r="AN56" i="11"/>
  <c r="AP55" i="11"/>
  <c r="AN55" i="11"/>
  <c r="AN54" i="11"/>
  <c r="AP54" i="11" s="1"/>
  <c r="AN53" i="11"/>
  <c r="AP53" i="11" s="1"/>
  <c r="AP52" i="11"/>
  <c r="AN52" i="11"/>
  <c r="AN51" i="11"/>
  <c r="AP51" i="11" s="1"/>
  <c r="AP50" i="11"/>
  <c r="AN50" i="11"/>
  <c r="AN49" i="11"/>
  <c r="AP49" i="11" s="1"/>
  <c r="AP48" i="11"/>
  <c r="AN48" i="11"/>
  <c r="AP47" i="11"/>
  <c r="AN47" i="11"/>
  <c r="AN46" i="11"/>
  <c r="AP46" i="11" s="1"/>
  <c r="AN45" i="11"/>
  <c r="AP45" i="11" s="1"/>
  <c r="AP44" i="11"/>
  <c r="AN44" i="11"/>
  <c r="AP43" i="11"/>
  <c r="AN43" i="11"/>
  <c r="AP42" i="11"/>
  <c r="AN42" i="11"/>
  <c r="AN41" i="11"/>
  <c r="AP41" i="11" s="1"/>
  <c r="AM41" i="11" s="1"/>
  <c r="AP40" i="11"/>
  <c r="AN40" i="11"/>
  <c r="AN39" i="11"/>
  <c r="AP39" i="11" s="1"/>
  <c r="AM39" i="11"/>
  <c r="AP38" i="11"/>
  <c r="AN38" i="11"/>
  <c r="X38" i="11"/>
  <c r="S38" i="11"/>
  <c r="N38" i="11"/>
  <c r="I38" i="11"/>
  <c r="AP37" i="11"/>
  <c r="AN37" i="11"/>
  <c r="X37" i="11"/>
  <c r="S37" i="11"/>
  <c r="N37" i="11"/>
  <c r="I37" i="11"/>
  <c r="AN36" i="11"/>
  <c r="AP36" i="11" s="1"/>
  <c r="X36" i="11"/>
  <c r="S36" i="11"/>
  <c r="N36" i="11"/>
  <c r="I36" i="11"/>
  <c r="AN35" i="11"/>
  <c r="AP35" i="11" s="1"/>
  <c r="X35" i="11"/>
  <c r="S35" i="11"/>
  <c r="N35" i="11"/>
  <c r="I35" i="11"/>
  <c r="AP34" i="11"/>
  <c r="AN34" i="11"/>
  <c r="X34" i="11"/>
  <c r="S34" i="11"/>
  <c r="N34" i="11"/>
  <c r="I34" i="11"/>
  <c r="AN33" i="11"/>
  <c r="AP33" i="11" s="1"/>
  <c r="X33" i="11"/>
  <c r="S33" i="11"/>
  <c r="N33" i="11"/>
  <c r="I33" i="11"/>
  <c r="AP32" i="11"/>
  <c r="AN32" i="11"/>
  <c r="X32" i="11"/>
  <c r="S32" i="11"/>
  <c r="N32" i="11"/>
  <c r="I32" i="11"/>
  <c r="AN31" i="11"/>
  <c r="AP31" i="11" s="1"/>
  <c r="X31" i="11"/>
  <c r="S31" i="11"/>
  <c r="N31" i="11"/>
  <c r="I31" i="11"/>
  <c r="AP30" i="11"/>
  <c r="AN30" i="11"/>
  <c r="X30" i="11"/>
  <c r="S30" i="11"/>
  <c r="N30" i="11"/>
  <c r="I30" i="11"/>
  <c r="AP29" i="11"/>
  <c r="AN29" i="11"/>
  <c r="X29" i="11"/>
  <c r="S29" i="11"/>
  <c r="N29" i="11"/>
  <c r="I29" i="11"/>
  <c r="AN28" i="11"/>
  <c r="AP28" i="11" s="1"/>
  <c r="X28" i="11"/>
  <c r="S28" i="11"/>
  <c r="N28" i="11"/>
  <c r="I28" i="11"/>
  <c r="AN27" i="11"/>
  <c r="AP27" i="11" s="1"/>
  <c r="X27" i="11"/>
  <c r="S27" i="11"/>
  <c r="N27" i="11"/>
  <c r="I27" i="11"/>
  <c r="AP26" i="11"/>
  <c r="AN26" i="11"/>
  <c r="X26" i="11"/>
  <c r="S26" i="11"/>
  <c r="N26" i="11"/>
  <c r="I26" i="11"/>
  <c r="AN25" i="11"/>
  <c r="AP25" i="11" s="1"/>
  <c r="X25" i="11"/>
  <c r="S25" i="11"/>
  <c r="N25" i="11"/>
  <c r="I25" i="11"/>
  <c r="AP24" i="11"/>
  <c r="AN24" i="11"/>
  <c r="X24" i="11"/>
  <c r="S24" i="11"/>
  <c r="N24" i="11"/>
  <c r="I24" i="11"/>
  <c r="AN23" i="11"/>
  <c r="AP23" i="11" s="1"/>
  <c r="X23" i="11"/>
  <c r="S23" i="11"/>
  <c r="N23" i="11"/>
  <c r="I23" i="11"/>
  <c r="AP22" i="11"/>
  <c r="AN22" i="11"/>
  <c r="AP21" i="11"/>
  <c r="AN21" i="11"/>
  <c r="AN20" i="11"/>
  <c r="AP20" i="11" s="1"/>
  <c r="AM20" i="11" s="1"/>
  <c r="AN19" i="11"/>
  <c r="AP19" i="11" s="1"/>
  <c r="AP18" i="11"/>
  <c r="AN18" i="11"/>
  <c r="AN17" i="11"/>
  <c r="AP17" i="11" s="1"/>
  <c r="AN16" i="11"/>
  <c r="AP16" i="11" s="1"/>
  <c r="AN15" i="11"/>
  <c r="AP15" i="11" s="1"/>
  <c r="D15" i="11"/>
  <c r="C15" i="11"/>
  <c r="AP14" i="11"/>
  <c r="AN14" i="11"/>
  <c r="D14" i="11"/>
  <c r="C14" i="11"/>
  <c r="C16" i="11" s="1"/>
  <c r="AP13" i="11"/>
  <c r="AN13" i="11"/>
  <c r="D13" i="11"/>
  <c r="C13" i="11"/>
  <c r="AN12" i="11"/>
  <c r="AP12" i="11" s="1"/>
  <c r="D12" i="11"/>
  <c r="C12" i="11"/>
  <c r="AN11" i="11"/>
  <c r="AP11" i="11" s="1"/>
  <c r="D11" i="11"/>
  <c r="C11" i="11"/>
  <c r="AP10" i="11"/>
  <c r="AN10" i="11"/>
  <c r="AN9" i="11"/>
  <c r="AP9" i="11" s="1"/>
  <c r="AN8" i="11"/>
  <c r="AP8" i="11" s="1"/>
  <c r="AN7" i="11"/>
  <c r="AP7" i="11" s="1"/>
  <c r="AP6" i="11"/>
  <c r="AN6" i="11"/>
  <c r="AN5" i="11"/>
  <c r="AP5" i="11" s="1"/>
  <c r="AM58" i="11" s="1"/>
  <c r="AP4" i="11"/>
  <c r="AN4" i="11"/>
  <c r="AM4" i="11"/>
  <c r="V4" i="11"/>
  <c r="R4" i="11"/>
  <c r="N4" i="11"/>
  <c r="J4" i="11"/>
  <c r="F4" i="11"/>
  <c r="AP3" i="11"/>
  <c r="AN3" i="11"/>
  <c r="AM3" i="11"/>
  <c r="AP65" i="10"/>
  <c r="AN65" i="10"/>
  <c r="AN64" i="10"/>
  <c r="AP64" i="10" s="1"/>
  <c r="AN63" i="10"/>
  <c r="AP63" i="10" s="1"/>
  <c r="AP62" i="10"/>
  <c r="AN62" i="10"/>
  <c r="AN61" i="10"/>
  <c r="AP61" i="10" s="1"/>
  <c r="AP60" i="10"/>
  <c r="AN60" i="10"/>
  <c r="AN59" i="10"/>
  <c r="AP59" i="10" s="1"/>
  <c r="AP58" i="10"/>
  <c r="AN58" i="10"/>
  <c r="AP57" i="10"/>
  <c r="AN57" i="10"/>
  <c r="AN56" i="10"/>
  <c r="AP56" i="10" s="1"/>
  <c r="AN55" i="10"/>
  <c r="AP55" i="10" s="1"/>
  <c r="AP54" i="10"/>
  <c r="AN54" i="10"/>
  <c r="AN53" i="10"/>
  <c r="AP53" i="10" s="1"/>
  <c r="AP52" i="10"/>
  <c r="AN52" i="10"/>
  <c r="AN51" i="10"/>
  <c r="AP51" i="10" s="1"/>
  <c r="AP50" i="10"/>
  <c r="AN50" i="10"/>
  <c r="AP49" i="10"/>
  <c r="AN49" i="10"/>
  <c r="AN48" i="10"/>
  <c r="AP48" i="10" s="1"/>
  <c r="AN47" i="10"/>
  <c r="AP47" i="10" s="1"/>
  <c r="AP46" i="10"/>
  <c r="AN46" i="10"/>
  <c r="AN45" i="10"/>
  <c r="AP45" i="10" s="1"/>
  <c r="AP44" i="10"/>
  <c r="AN44" i="10"/>
  <c r="AN43" i="10"/>
  <c r="AP43" i="10" s="1"/>
  <c r="AP42" i="10"/>
  <c r="AN42" i="10"/>
  <c r="AP41" i="10"/>
  <c r="AN41" i="10"/>
  <c r="AN40" i="10"/>
  <c r="AP40" i="10" s="1"/>
  <c r="AN39" i="10"/>
  <c r="AP39" i="10" s="1"/>
  <c r="AP38" i="10"/>
  <c r="AN38" i="10"/>
  <c r="X38" i="10"/>
  <c r="S38" i="10"/>
  <c r="N38" i="10"/>
  <c r="I38" i="10"/>
  <c r="AN37" i="10"/>
  <c r="AP37" i="10" s="1"/>
  <c r="X37" i="10"/>
  <c r="S37" i="10"/>
  <c r="N37" i="10"/>
  <c r="I37" i="10"/>
  <c r="AP36" i="10"/>
  <c r="AN36" i="10"/>
  <c r="X36" i="10"/>
  <c r="S36" i="10"/>
  <c r="N36" i="10"/>
  <c r="I36" i="10"/>
  <c r="AN35" i="10"/>
  <c r="AP35" i="10" s="1"/>
  <c r="X35" i="10"/>
  <c r="S35" i="10"/>
  <c r="N35" i="10"/>
  <c r="I35" i="10"/>
  <c r="AP34" i="10"/>
  <c r="AN34" i="10"/>
  <c r="X34" i="10"/>
  <c r="S34" i="10"/>
  <c r="N34" i="10"/>
  <c r="I34" i="10"/>
  <c r="AP33" i="10"/>
  <c r="AN33" i="10"/>
  <c r="X33" i="10"/>
  <c r="S33" i="10"/>
  <c r="N33" i="10"/>
  <c r="I33" i="10"/>
  <c r="AN32" i="10"/>
  <c r="AP32" i="10" s="1"/>
  <c r="X32" i="10"/>
  <c r="S32" i="10"/>
  <c r="N32" i="10"/>
  <c r="I32" i="10"/>
  <c r="AN31" i="10"/>
  <c r="AP31" i="10" s="1"/>
  <c r="X31" i="10"/>
  <c r="S31" i="10"/>
  <c r="N31" i="10"/>
  <c r="I31" i="10"/>
  <c r="AP30" i="10"/>
  <c r="AN30" i="10"/>
  <c r="X30" i="10"/>
  <c r="S30" i="10"/>
  <c r="N30" i="10"/>
  <c r="I30" i="10"/>
  <c r="AN29" i="10"/>
  <c r="AP29" i="10" s="1"/>
  <c r="X29" i="10"/>
  <c r="S29" i="10"/>
  <c r="N29" i="10"/>
  <c r="I29" i="10"/>
  <c r="AP28" i="10"/>
  <c r="AN28" i="10"/>
  <c r="X28" i="10"/>
  <c r="S28" i="10"/>
  <c r="N28" i="10"/>
  <c r="I28" i="10"/>
  <c r="AN27" i="10"/>
  <c r="AP27" i="10" s="1"/>
  <c r="X27" i="10"/>
  <c r="S27" i="10"/>
  <c r="N27" i="10"/>
  <c r="I27" i="10"/>
  <c r="AP26" i="10"/>
  <c r="AN26" i="10"/>
  <c r="X26" i="10"/>
  <c r="S26" i="10"/>
  <c r="N26" i="10"/>
  <c r="I26" i="10"/>
  <c r="AP25" i="10"/>
  <c r="AN25" i="10"/>
  <c r="X25" i="10"/>
  <c r="S25" i="10"/>
  <c r="N25" i="10"/>
  <c r="I25" i="10"/>
  <c r="AN24" i="10"/>
  <c r="AP24" i="10" s="1"/>
  <c r="X24" i="10"/>
  <c r="S24" i="10"/>
  <c r="N24" i="10"/>
  <c r="I24" i="10"/>
  <c r="AN23" i="10"/>
  <c r="AP23" i="10" s="1"/>
  <c r="X23" i="10"/>
  <c r="S23" i="10"/>
  <c r="N23" i="10"/>
  <c r="I23" i="10"/>
  <c r="AP22" i="10"/>
  <c r="AN22" i="10"/>
  <c r="AN21" i="10"/>
  <c r="AP21" i="10" s="1"/>
  <c r="AP20" i="10"/>
  <c r="AN20" i="10"/>
  <c r="AN19" i="10"/>
  <c r="AP19" i="10" s="1"/>
  <c r="AP18" i="10"/>
  <c r="AN18" i="10"/>
  <c r="AN17" i="10"/>
  <c r="AP17" i="10" s="1"/>
  <c r="AP16" i="10"/>
  <c r="AN16" i="10"/>
  <c r="AN15" i="10"/>
  <c r="AP15" i="10" s="1"/>
  <c r="D15" i="10"/>
  <c r="C15" i="10"/>
  <c r="AP14" i="10"/>
  <c r="AN14" i="10"/>
  <c r="D14" i="10"/>
  <c r="C14" i="10"/>
  <c r="AN13" i="10"/>
  <c r="AP13" i="10" s="1"/>
  <c r="D13" i="10"/>
  <c r="C13" i="10"/>
  <c r="AP12" i="10"/>
  <c r="AN12" i="10"/>
  <c r="D12" i="10"/>
  <c r="C12" i="10"/>
  <c r="AN11" i="10"/>
  <c r="AP11" i="10" s="1"/>
  <c r="D11" i="10"/>
  <c r="C11" i="10"/>
  <c r="C16" i="10" s="1"/>
  <c r="AP10" i="10"/>
  <c r="AN10" i="10"/>
  <c r="AN9" i="10"/>
  <c r="AP9" i="10" s="1"/>
  <c r="AM9" i="10" s="1"/>
  <c r="AN8" i="10"/>
  <c r="AP8" i="10" s="1"/>
  <c r="AM8" i="10" s="1"/>
  <c r="AN7" i="10"/>
  <c r="AP7" i="10" s="1"/>
  <c r="AM7" i="10" s="1"/>
  <c r="AN6" i="10"/>
  <c r="AP6" i="10" s="1"/>
  <c r="AM58" i="10" s="1"/>
  <c r="AM6" i="10"/>
  <c r="AN5" i="10"/>
  <c r="AP5" i="10" s="1"/>
  <c r="AP4" i="10"/>
  <c r="AN4" i="10"/>
  <c r="AM4" i="10"/>
  <c r="V4" i="10"/>
  <c r="R4" i="10"/>
  <c r="N4" i="10"/>
  <c r="J4" i="10"/>
  <c r="F4" i="10"/>
  <c r="AP3" i="10"/>
  <c r="AN3" i="10"/>
  <c r="AM3" i="10"/>
  <c r="AN65" i="9"/>
  <c r="AP65" i="9" s="1"/>
  <c r="AN64" i="9"/>
  <c r="AP64" i="9" s="1"/>
  <c r="AN63" i="9"/>
  <c r="AP63" i="9" s="1"/>
  <c r="AP62" i="9"/>
  <c r="AN62" i="9"/>
  <c r="AN61" i="9"/>
  <c r="AP61" i="9" s="1"/>
  <c r="AN60" i="9"/>
  <c r="AP60" i="9" s="1"/>
  <c r="AN59" i="9"/>
  <c r="AP59" i="9" s="1"/>
  <c r="AP58" i="9"/>
  <c r="AN58" i="9"/>
  <c r="AN57" i="9"/>
  <c r="AP57" i="9" s="1"/>
  <c r="AN56" i="9"/>
  <c r="AP56" i="9" s="1"/>
  <c r="AN55" i="9"/>
  <c r="AP55" i="9" s="1"/>
  <c r="AP54" i="9"/>
  <c r="AN54" i="9"/>
  <c r="AN53" i="9"/>
  <c r="AP53" i="9" s="1"/>
  <c r="AN52" i="9"/>
  <c r="AP52" i="9" s="1"/>
  <c r="AN51" i="9"/>
  <c r="AP51" i="9" s="1"/>
  <c r="AP50" i="9"/>
  <c r="AN50" i="9"/>
  <c r="AN49" i="9"/>
  <c r="AP49" i="9" s="1"/>
  <c r="AN48" i="9"/>
  <c r="AP48" i="9" s="1"/>
  <c r="AN47" i="9"/>
  <c r="AP47" i="9" s="1"/>
  <c r="AP46" i="9"/>
  <c r="AN46" i="9"/>
  <c r="AN45" i="9"/>
  <c r="AP45" i="9" s="1"/>
  <c r="AN44" i="9"/>
  <c r="AP44" i="9" s="1"/>
  <c r="AN43" i="9"/>
  <c r="AP43" i="9" s="1"/>
  <c r="AP42" i="9"/>
  <c r="AN42" i="9"/>
  <c r="AN41" i="9"/>
  <c r="AP41" i="9" s="1"/>
  <c r="AN40" i="9"/>
  <c r="AP40" i="9" s="1"/>
  <c r="AN39" i="9"/>
  <c r="AP39" i="9" s="1"/>
  <c r="AP38" i="9"/>
  <c r="AN38" i="9"/>
  <c r="X38" i="9"/>
  <c r="S38" i="9"/>
  <c r="N38" i="9"/>
  <c r="I38" i="9"/>
  <c r="AN37" i="9"/>
  <c r="AP37" i="9" s="1"/>
  <c r="X37" i="9"/>
  <c r="S37" i="9"/>
  <c r="N37" i="9"/>
  <c r="I37" i="9"/>
  <c r="AN36" i="9"/>
  <c r="AP36" i="9" s="1"/>
  <c r="X36" i="9"/>
  <c r="S36" i="9"/>
  <c r="N36" i="9"/>
  <c r="I36" i="9"/>
  <c r="AN35" i="9"/>
  <c r="AP35" i="9" s="1"/>
  <c r="X35" i="9"/>
  <c r="S35" i="9"/>
  <c r="N35" i="9"/>
  <c r="I35" i="9"/>
  <c r="AP34" i="9"/>
  <c r="AN34" i="9"/>
  <c r="X34" i="9"/>
  <c r="S34" i="9"/>
  <c r="N34" i="9"/>
  <c r="I34" i="9"/>
  <c r="AN33" i="9"/>
  <c r="AP33" i="9" s="1"/>
  <c r="X33" i="9"/>
  <c r="S33" i="9"/>
  <c r="N33" i="9"/>
  <c r="I33" i="9"/>
  <c r="AN32" i="9"/>
  <c r="AP32" i="9" s="1"/>
  <c r="X32" i="9"/>
  <c r="S32" i="9"/>
  <c r="N32" i="9"/>
  <c r="I32" i="9"/>
  <c r="AN31" i="9"/>
  <c r="AP31" i="9" s="1"/>
  <c r="X31" i="9"/>
  <c r="S31" i="9"/>
  <c r="N31" i="9"/>
  <c r="I31" i="9"/>
  <c r="AP30" i="9"/>
  <c r="AN30" i="9"/>
  <c r="X30" i="9"/>
  <c r="S30" i="9"/>
  <c r="N30" i="9"/>
  <c r="I30" i="9"/>
  <c r="AN29" i="9"/>
  <c r="AP29" i="9" s="1"/>
  <c r="AM29" i="9" s="1"/>
  <c r="X29" i="9"/>
  <c r="S29" i="9"/>
  <c r="N29" i="9"/>
  <c r="I29" i="9"/>
  <c r="AN28" i="9"/>
  <c r="AP28" i="9" s="1"/>
  <c r="X28" i="9"/>
  <c r="S28" i="9"/>
  <c r="N28" i="9"/>
  <c r="I28" i="9"/>
  <c r="AN27" i="9"/>
  <c r="AP27" i="9" s="1"/>
  <c r="X27" i="9"/>
  <c r="S27" i="9"/>
  <c r="N27" i="9"/>
  <c r="I27" i="9"/>
  <c r="AP26" i="9"/>
  <c r="AN26" i="9"/>
  <c r="X26" i="9"/>
  <c r="S26" i="9"/>
  <c r="N26" i="9"/>
  <c r="I26" i="9"/>
  <c r="AN25" i="9"/>
  <c r="AP25" i="9" s="1"/>
  <c r="X25" i="9"/>
  <c r="S25" i="9"/>
  <c r="N25" i="9"/>
  <c r="I25" i="9"/>
  <c r="AN24" i="9"/>
  <c r="AP24" i="9" s="1"/>
  <c r="X24" i="9"/>
  <c r="S24" i="9"/>
  <c r="N24" i="9"/>
  <c r="I24" i="9"/>
  <c r="AN23" i="9"/>
  <c r="AP23" i="9" s="1"/>
  <c r="X23" i="9"/>
  <c r="S23" i="9"/>
  <c r="N23" i="9"/>
  <c r="I23" i="9"/>
  <c r="AP22" i="9"/>
  <c r="AN22" i="9"/>
  <c r="AN21" i="9"/>
  <c r="AP21" i="9" s="1"/>
  <c r="AN20" i="9"/>
  <c r="AP20" i="9" s="1"/>
  <c r="AN19" i="9"/>
  <c r="AP19" i="9" s="1"/>
  <c r="AP18" i="9"/>
  <c r="AN18" i="9"/>
  <c r="AN17" i="9"/>
  <c r="AP17" i="9" s="1"/>
  <c r="AP16" i="9"/>
  <c r="AN16" i="9"/>
  <c r="C16" i="9"/>
  <c r="AN15" i="9"/>
  <c r="AP15" i="9" s="1"/>
  <c r="D15" i="9"/>
  <c r="C15" i="9"/>
  <c r="AP14" i="9"/>
  <c r="AN14" i="9"/>
  <c r="D14" i="9"/>
  <c r="C14" i="9"/>
  <c r="AP13" i="9"/>
  <c r="AN13" i="9"/>
  <c r="D13" i="9"/>
  <c r="C13" i="9"/>
  <c r="AN12" i="9"/>
  <c r="AP12" i="9" s="1"/>
  <c r="AM12" i="9" s="1"/>
  <c r="D12" i="9"/>
  <c r="C12" i="9"/>
  <c r="AN11" i="9"/>
  <c r="AP11" i="9" s="1"/>
  <c r="D11" i="9"/>
  <c r="D16" i="9" s="1"/>
  <c r="C11" i="9"/>
  <c r="AP10" i="9"/>
  <c r="AN10" i="9"/>
  <c r="AM10" i="9"/>
  <c r="AN9" i="9"/>
  <c r="AP9" i="9" s="1"/>
  <c r="AN8" i="9"/>
  <c r="AP8" i="9" s="1"/>
  <c r="AN7" i="9"/>
  <c r="AP7" i="9" s="1"/>
  <c r="AM7" i="9" s="1"/>
  <c r="AN6" i="9"/>
  <c r="AP6" i="9" s="1"/>
  <c r="AM6" i="9" s="1"/>
  <c r="AN5" i="9"/>
  <c r="AP5" i="9" s="1"/>
  <c r="AM5" i="9"/>
  <c r="AP4" i="9"/>
  <c r="AN4" i="9"/>
  <c r="AM4" i="9"/>
  <c r="V4" i="9"/>
  <c r="R4" i="9"/>
  <c r="N4" i="9"/>
  <c r="J4" i="9"/>
  <c r="F4" i="9"/>
  <c r="AP3" i="9"/>
  <c r="AN3" i="9"/>
  <c r="AM3" i="9"/>
  <c r="AP65" i="8"/>
  <c r="AN65" i="8"/>
  <c r="AN64" i="8"/>
  <c r="AP64" i="8" s="1"/>
  <c r="AN63" i="8"/>
  <c r="AP63" i="8" s="1"/>
  <c r="AP62" i="8"/>
  <c r="AN62" i="8"/>
  <c r="AN61" i="8"/>
  <c r="AP61" i="8" s="1"/>
  <c r="AN60" i="8"/>
  <c r="AP60" i="8" s="1"/>
  <c r="AN59" i="8"/>
  <c r="AP59" i="8" s="1"/>
  <c r="AP58" i="8"/>
  <c r="AN58" i="8"/>
  <c r="AP57" i="8"/>
  <c r="AN57" i="8"/>
  <c r="AN56" i="8"/>
  <c r="AP56" i="8" s="1"/>
  <c r="AN55" i="8"/>
  <c r="AP55" i="8" s="1"/>
  <c r="AP54" i="8"/>
  <c r="AN54" i="8"/>
  <c r="AN53" i="8"/>
  <c r="AP53" i="8" s="1"/>
  <c r="AN52" i="8"/>
  <c r="AP52" i="8" s="1"/>
  <c r="AN51" i="8"/>
  <c r="AP51" i="8" s="1"/>
  <c r="AP50" i="8"/>
  <c r="AN50" i="8"/>
  <c r="AP49" i="8"/>
  <c r="AN49" i="8"/>
  <c r="AN48" i="8"/>
  <c r="AP48" i="8" s="1"/>
  <c r="AN47" i="8"/>
  <c r="AP47" i="8" s="1"/>
  <c r="AP46" i="8"/>
  <c r="AN46" i="8"/>
  <c r="AN45" i="8"/>
  <c r="AP45" i="8" s="1"/>
  <c r="AN44" i="8"/>
  <c r="AP44" i="8" s="1"/>
  <c r="AN43" i="8"/>
  <c r="AP43" i="8" s="1"/>
  <c r="AP42" i="8"/>
  <c r="AN42" i="8"/>
  <c r="AP41" i="8"/>
  <c r="AN41" i="8"/>
  <c r="AN40" i="8"/>
  <c r="AP40" i="8" s="1"/>
  <c r="AN39" i="8"/>
  <c r="AP39" i="8" s="1"/>
  <c r="AP38" i="8"/>
  <c r="AN38" i="8"/>
  <c r="X38" i="8"/>
  <c r="S38" i="8"/>
  <c r="N38" i="8"/>
  <c r="I38" i="8"/>
  <c r="AN37" i="8"/>
  <c r="AP37" i="8" s="1"/>
  <c r="X37" i="8"/>
  <c r="S37" i="8"/>
  <c r="N37" i="8"/>
  <c r="I37" i="8"/>
  <c r="AN36" i="8"/>
  <c r="AP36" i="8" s="1"/>
  <c r="X36" i="8"/>
  <c r="S36" i="8"/>
  <c r="N36" i="8"/>
  <c r="I36" i="8"/>
  <c r="AN35" i="8"/>
  <c r="AP35" i="8" s="1"/>
  <c r="X35" i="8"/>
  <c r="S35" i="8"/>
  <c r="N35" i="8"/>
  <c r="I35" i="8"/>
  <c r="AP34" i="8"/>
  <c r="AN34" i="8"/>
  <c r="X34" i="8"/>
  <c r="S34" i="8"/>
  <c r="N34" i="8"/>
  <c r="I34" i="8"/>
  <c r="AP33" i="8"/>
  <c r="AN33" i="8"/>
  <c r="X33" i="8"/>
  <c r="S33" i="8"/>
  <c r="N33" i="8"/>
  <c r="I33" i="8"/>
  <c r="AN32" i="8"/>
  <c r="AP32" i="8" s="1"/>
  <c r="X32" i="8"/>
  <c r="S32" i="8"/>
  <c r="N32" i="8"/>
  <c r="I32" i="8"/>
  <c r="AN31" i="8"/>
  <c r="AP31" i="8" s="1"/>
  <c r="X31" i="8"/>
  <c r="S31" i="8"/>
  <c r="N31" i="8"/>
  <c r="I31" i="8"/>
  <c r="AP30" i="8"/>
  <c r="AN30" i="8"/>
  <c r="X30" i="8"/>
  <c r="S30" i="8"/>
  <c r="N30" i="8"/>
  <c r="I30" i="8"/>
  <c r="AN29" i="8"/>
  <c r="AP29" i="8" s="1"/>
  <c r="X29" i="8"/>
  <c r="S29" i="8"/>
  <c r="N29" i="8"/>
  <c r="I29" i="8"/>
  <c r="AN28" i="8"/>
  <c r="AP28" i="8" s="1"/>
  <c r="X28" i="8"/>
  <c r="S28" i="8"/>
  <c r="N28" i="8"/>
  <c r="I28" i="8"/>
  <c r="AN27" i="8"/>
  <c r="AP27" i="8" s="1"/>
  <c r="AM27" i="8"/>
  <c r="X27" i="8"/>
  <c r="S27" i="8"/>
  <c r="N27" i="8"/>
  <c r="I27" i="8"/>
  <c r="AP26" i="8"/>
  <c r="AN26" i="8"/>
  <c r="X26" i="8"/>
  <c r="S26" i="8"/>
  <c r="N26" i="8"/>
  <c r="I26" i="8"/>
  <c r="AP25" i="8"/>
  <c r="AN25" i="8"/>
  <c r="X25" i="8"/>
  <c r="S25" i="8"/>
  <c r="N25" i="8"/>
  <c r="I25" i="8"/>
  <c r="AN24" i="8"/>
  <c r="AP24" i="8" s="1"/>
  <c r="X24" i="8"/>
  <c r="S24" i="8"/>
  <c r="N24" i="8"/>
  <c r="I24" i="8"/>
  <c r="AN23" i="8"/>
  <c r="AP23" i="8" s="1"/>
  <c r="X23" i="8"/>
  <c r="S23" i="8"/>
  <c r="N23" i="8"/>
  <c r="I23" i="8"/>
  <c r="AP22" i="8"/>
  <c r="AN22" i="8"/>
  <c r="AN21" i="8"/>
  <c r="AP21" i="8" s="1"/>
  <c r="AN20" i="8"/>
  <c r="AP20" i="8" s="1"/>
  <c r="AN19" i="8"/>
  <c r="AP19" i="8" s="1"/>
  <c r="AM19" i="8"/>
  <c r="AP18" i="8"/>
  <c r="AN18" i="8"/>
  <c r="AN17" i="8"/>
  <c r="AP17" i="8" s="1"/>
  <c r="AP16" i="8"/>
  <c r="AN16" i="8"/>
  <c r="AN15" i="8"/>
  <c r="AP15" i="8" s="1"/>
  <c r="D15" i="8"/>
  <c r="C15" i="8"/>
  <c r="AP14" i="8"/>
  <c r="AN14" i="8"/>
  <c r="D14" i="8"/>
  <c r="C14" i="8"/>
  <c r="AN13" i="8"/>
  <c r="AP13" i="8" s="1"/>
  <c r="D13" i="8"/>
  <c r="C13" i="8"/>
  <c r="AP12" i="8"/>
  <c r="AN12" i="8"/>
  <c r="D12" i="8"/>
  <c r="C12" i="8"/>
  <c r="AN11" i="8"/>
  <c r="AP11" i="8" s="1"/>
  <c r="D11" i="8"/>
  <c r="C11" i="8"/>
  <c r="AN10" i="8"/>
  <c r="AP10" i="8" s="1"/>
  <c r="AN9" i="8"/>
  <c r="AP9" i="8" s="1"/>
  <c r="AP8" i="8"/>
  <c r="AN8" i="8"/>
  <c r="AN7" i="8"/>
  <c r="AP7" i="8" s="1"/>
  <c r="AP6" i="8"/>
  <c r="AN6" i="8"/>
  <c r="AN5" i="8"/>
  <c r="AP5" i="8" s="1"/>
  <c r="AN4" i="8"/>
  <c r="AP4" i="8" s="1"/>
  <c r="V4" i="8"/>
  <c r="R4" i="8"/>
  <c r="N4" i="8"/>
  <c r="J4" i="8"/>
  <c r="F4" i="8"/>
  <c r="AN3" i="8"/>
  <c r="AP3" i="8" s="1"/>
  <c r="AM59" i="8" s="1"/>
  <c r="AN65" i="7"/>
  <c r="AP65" i="7" s="1"/>
  <c r="AP64" i="7"/>
  <c r="AN64" i="7"/>
  <c r="AN63" i="7"/>
  <c r="AP63" i="7" s="1"/>
  <c r="AN62" i="7"/>
  <c r="AP62" i="7" s="1"/>
  <c r="AN61" i="7"/>
  <c r="AP61" i="7" s="1"/>
  <c r="AP60" i="7"/>
  <c r="AN60" i="7"/>
  <c r="AN59" i="7"/>
  <c r="AP59" i="7" s="1"/>
  <c r="AN58" i="7"/>
  <c r="AP58" i="7" s="1"/>
  <c r="AN57" i="7"/>
  <c r="AP57" i="7" s="1"/>
  <c r="AP56" i="7"/>
  <c r="AN56" i="7"/>
  <c r="AN55" i="7"/>
  <c r="AP55" i="7" s="1"/>
  <c r="AN54" i="7"/>
  <c r="AP54" i="7" s="1"/>
  <c r="AN53" i="7"/>
  <c r="AP53" i="7" s="1"/>
  <c r="AP52" i="7"/>
  <c r="AN52" i="7"/>
  <c r="AN51" i="7"/>
  <c r="AP51" i="7" s="1"/>
  <c r="AN50" i="7"/>
  <c r="AP50" i="7" s="1"/>
  <c r="AN49" i="7"/>
  <c r="AP49" i="7" s="1"/>
  <c r="AP48" i="7"/>
  <c r="AN48" i="7"/>
  <c r="AN47" i="7"/>
  <c r="AP47" i="7" s="1"/>
  <c r="AN46" i="7"/>
  <c r="AP46" i="7" s="1"/>
  <c r="AN45" i="7"/>
  <c r="AP45" i="7" s="1"/>
  <c r="AP44" i="7"/>
  <c r="AN44" i="7"/>
  <c r="AN43" i="7"/>
  <c r="AP43" i="7" s="1"/>
  <c r="AP42" i="7"/>
  <c r="AN42" i="7"/>
  <c r="AN41" i="7"/>
  <c r="AP41" i="7" s="1"/>
  <c r="AP40" i="7"/>
  <c r="AN40" i="7"/>
  <c r="AP39" i="7"/>
  <c r="AN39" i="7"/>
  <c r="AN38" i="7"/>
  <c r="AP38" i="7" s="1"/>
  <c r="X38" i="7"/>
  <c r="S38" i="7"/>
  <c r="N38" i="7"/>
  <c r="I38" i="7"/>
  <c r="AN37" i="7"/>
  <c r="AP37" i="7" s="1"/>
  <c r="X37" i="7"/>
  <c r="S37" i="7"/>
  <c r="N37" i="7"/>
  <c r="I37" i="7"/>
  <c r="AP36" i="7"/>
  <c r="AN36" i="7"/>
  <c r="X36" i="7"/>
  <c r="S36" i="7"/>
  <c r="N36" i="7"/>
  <c r="I36" i="7"/>
  <c r="AP35" i="7"/>
  <c r="AN35" i="7"/>
  <c r="X35" i="7"/>
  <c r="S35" i="7"/>
  <c r="N35" i="7"/>
  <c r="I35" i="7"/>
  <c r="AN34" i="7"/>
  <c r="AP34" i="7" s="1"/>
  <c r="X34" i="7"/>
  <c r="S34" i="7"/>
  <c r="N34" i="7"/>
  <c r="I34" i="7"/>
  <c r="AN33" i="7"/>
  <c r="AP33" i="7" s="1"/>
  <c r="X33" i="7"/>
  <c r="S33" i="7"/>
  <c r="N33" i="7"/>
  <c r="I33" i="7"/>
  <c r="AP32" i="7"/>
  <c r="AN32" i="7"/>
  <c r="X32" i="7"/>
  <c r="S32" i="7"/>
  <c r="N32" i="7"/>
  <c r="I32" i="7"/>
  <c r="AP31" i="7"/>
  <c r="AN31" i="7"/>
  <c r="X31" i="7"/>
  <c r="S31" i="7"/>
  <c r="N31" i="7"/>
  <c r="I31" i="7"/>
  <c r="AN30" i="7"/>
  <c r="AP30" i="7" s="1"/>
  <c r="X30" i="7"/>
  <c r="S30" i="7"/>
  <c r="N30" i="7"/>
  <c r="I30" i="7"/>
  <c r="AN29" i="7"/>
  <c r="AP29" i="7" s="1"/>
  <c r="X29" i="7"/>
  <c r="S29" i="7"/>
  <c r="N29" i="7"/>
  <c r="I29" i="7"/>
  <c r="AP28" i="7"/>
  <c r="AN28" i="7"/>
  <c r="X28" i="7"/>
  <c r="S28" i="7"/>
  <c r="N28" i="7"/>
  <c r="I28" i="7"/>
  <c r="AP27" i="7"/>
  <c r="AN27" i="7"/>
  <c r="X27" i="7"/>
  <c r="S27" i="7"/>
  <c r="N27" i="7"/>
  <c r="I27" i="7"/>
  <c r="AN26" i="7"/>
  <c r="AP26" i="7" s="1"/>
  <c r="X26" i="7"/>
  <c r="S26" i="7"/>
  <c r="N26" i="7"/>
  <c r="I26" i="7"/>
  <c r="AN25" i="7"/>
  <c r="AP25" i="7" s="1"/>
  <c r="X25" i="7"/>
  <c r="S25" i="7"/>
  <c r="N25" i="7"/>
  <c r="I25" i="7"/>
  <c r="AP24" i="7"/>
  <c r="AN24" i="7"/>
  <c r="X24" i="7"/>
  <c r="S24" i="7"/>
  <c r="N24" i="7"/>
  <c r="I24" i="7"/>
  <c r="AP23" i="7"/>
  <c r="AN23" i="7"/>
  <c r="X23" i="7"/>
  <c r="S23" i="7"/>
  <c r="N23" i="7"/>
  <c r="I23" i="7"/>
  <c r="AN22" i="7"/>
  <c r="AP22" i="7" s="1"/>
  <c r="AN21" i="7"/>
  <c r="AP21" i="7" s="1"/>
  <c r="AP20" i="7"/>
  <c r="AN20" i="7"/>
  <c r="AP19" i="7"/>
  <c r="AN19" i="7"/>
  <c r="AN18" i="7"/>
  <c r="AP18" i="7" s="1"/>
  <c r="AP17" i="7"/>
  <c r="AN17" i="7"/>
  <c r="AP16" i="7"/>
  <c r="AN16" i="7"/>
  <c r="AP15" i="7"/>
  <c r="AN15" i="7"/>
  <c r="D15" i="7"/>
  <c r="C15" i="7"/>
  <c r="AN14" i="7"/>
  <c r="AP14" i="7" s="1"/>
  <c r="D14" i="7"/>
  <c r="C14" i="7"/>
  <c r="AN13" i="7"/>
  <c r="AP13" i="7" s="1"/>
  <c r="D13" i="7"/>
  <c r="C13" i="7"/>
  <c r="AP12" i="7"/>
  <c r="AN12" i="7"/>
  <c r="D12" i="7"/>
  <c r="C12" i="7"/>
  <c r="C16" i="7" s="1"/>
  <c r="AP11" i="7"/>
  <c r="AN11" i="7"/>
  <c r="D11" i="7"/>
  <c r="D16" i="7" s="1"/>
  <c r="C11" i="7"/>
  <c r="AN10" i="7"/>
  <c r="AP10" i="7" s="1"/>
  <c r="AP9" i="7"/>
  <c r="AN9" i="7"/>
  <c r="AP8" i="7"/>
  <c r="AN8" i="7"/>
  <c r="AN7" i="7"/>
  <c r="AP7" i="7" s="1"/>
  <c r="AP6" i="7"/>
  <c r="AN6" i="7"/>
  <c r="AN5" i="7"/>
  <c r="AP5" i="7" s="1"/>
  <c r="AN4" i="7"/>
  <c r="AP4" i="7" s="1"/>
  <c r="V4" i="7"/>
  <c r="R4" i="7"/>
  <c r="N4" i="7"/>
  <c r="J4" i="7"/>
  <c r="F4" i="7"/>
  <c r="AN3" i="7"/>
  <c r="AP3" i="7" s="1"/>
  <c r="AN65" i="6"/>
  <c r="AP65" i="6" s="1"/>
  <c r="AP64" i="6"/>
  <c r="AN64" i="6"/>
  <c r="AP63" i="6"/>
  <c r="AN63" i="6"/>
  <c r="AN62" i="6"/>
  <c r="AP62" i="6" s="1"/>
  <c r="AN61" i="6"/>
  <c r="AP61" i="6" s="1"/>
  <c r="AP60" i="6"/>
  <c r="AN60" i="6"/>
  <c r="AP59" i="6"/>
  <c r="AN59" i="6"/>
  <c r="AN58" i="6"/>
  <c r="AP58" i="6" s="1"/>
  <c r="AN57" i="6"/>
  <c r="AP57" i="6" s="1"/>
  <c r="AP56" i="6"/>
  <c r="AN56" i="6"/>
  <c r="AP55" i="6"/>
  <c r="AN55" i="6"/>
  <c r="AN54" i="6"/>
  <c r="AP54" i="6" s="1"/>
  <c r="AN53" i="6"/>
  <c r="AP53" i="6" s="1"/>
  <c r="AP52" i="6"/>
  <c r="AN52" i="6"/>
  <c r="AP51" i="6"/>
  <c r="AN51" i="6"/>
  <c r="AN50" i="6"/>
  <c r="AP50" i="6" s="1"/>
  <c r="AN49" i="6"/>
  <c r="AP49" i="6" s="1"/>
  <c r="AP48" i="6"/>
  <c r="AN48" i="6"/>
  <c r="AP47" i="6"/>
  <c r="AN47" i="6"/>
  <c r="AN46" i="6"/>
  <c r="AP46" i="6" s="1"/>
  <c r="AN45" i="6"/>
  <c r="AP45" i="6" s="1"/>
  <c r="AP44" i="6"/>
  <c r="AN44" i="6"/>
  <c r="AP43" i="6"/>
  <c r="AN43" i="6"/>
  <c r="AN42" i="6"/>
  <c r="AP42" i="6" s="1"/>
  <c r="AN41" i="6"/>
  <c r="AP41" i="6" s="1"/>
  <c r="AP40" i="6"/>
  <c r="AN40" i="6"/>
  <c r="AP39" i="6"/>
  <c r="AN39" i="6"/>
  <c r="AN38" i="6"/>
  <c r="AP38" i="6" s="1"/>
  <c r="X38" i="6"/>
  <c r="S38" i="6"/>
  <c r="N38" i="6"/>
  <c r="I38" i="6"/>
  <c r="AN37" i="6"/>
  <c r="AP37" i="6" s="1"/>
  <c r="X37" i="6"/>
  <c r="S37" i="6"/>
  <c r="N37" i="6"/>
  <c r="I37" i="6"/>
  <c r="AP36" i="6"/>
  <c r="AN36" i="6"/>
  <c r="X36" i="6"/>
  <c r="S36" i="6"/>
  <c r="N36" i="6"/>
  <c r="I36" i="6"/>
  <c r="AP35" i="6"/>
  <c r="AN35" i="6"/>
  <c r="X35" i="6"/>
  <c r="S35" i="6"/>
  <c r="N35" i="6"/>
  <c r="I35" i="6"/>
  <c r="AN34" i="6"/>
  <c r="AP34" i="6" s="1"/>
  <c r="X34" i="6"/>
  <c r="S34" i="6"/>
  <c r="N34" i="6"/>
  <c r="I34" i="6"/>
  <c r="AN33" i="6"/>
  <c r="AP33" i="6" s="1"/>
  <c r="X33" i="6"/>
  <c r="S33" i="6"/>
  <c r="N33" i="6"/>
  <c r="I33" i="6"/>
  <c r="AP32" i="6"/>
  <c r="AN32" i="6"/>
  <c r="X32" i="6"/>
  <c r="S32" i="6"/>
  <c r="N32" i="6"/>
  <c r="I32" i="6"/>
  <c r="AP31" i="6"/>
  <c r="AN31" i="6"/>
  <c r="X31" i="6"/>
  <c r="S31" i="6"/>
  <c r="N31" i="6"/>
  <c r="I31" i="6"/>
  <c r="AN30" i="6"/>
  <c r="AP30" i="6" s="1"/>
  <c r="X30" i="6"/>
  <c r="S30" i="6"/>
  <c r="N30" i="6"/>
  <c r="I30" i="6"/>
  <c r="AN29" i="6"/>
  <c r="AP29" i="6" s="1"/>
  <c r="X29" i="6"/>
  <c r="S29" i="6"/>
  <c r="N29" i="6"/>
  <c r="I29" i="6"/>
  <c r="AP28" i="6"/>
  <c r="AN28" i="6"/>
  <c r="X28" i="6"/>
  <c r="S28" i="6"/>
  <c r="N28" i="6"/>
  <c r="I28" i="6"/>
  <c r="AP27" i="6"/>
  <c r="AN27" i="6"/>
  <c r="X27" i="6"/>
  <c r="S27" i="6"/>
  <c r="N27" i="6"/>
  <c r="I27" i="6"/>
  <c r="AN26" i="6"/>
  <c r="AP26" i="6" s="1"/>
  <c r="X26" i="6"/>
  <c r="S26" i="6"/>
  <c r="N26" i="6"/>
  <c r="I26" i="6"/>
  <c r="AN25" i="6"/>
  <c r="AP25" i="6" s="1"/>
  <c r="X25" i="6"/>
  <c r="S25" i="6"/>
  <c r="N25" i="6"/>
  <c r="I25" i="6"/>
  <c r="AP24" i="6"/>
  <c r="AN24" i="6"/>
  <c r="X24" i="6"/>
  <c r="S24" i="6"/>
  <c r="N24" i="6"/>
  <c r="I24" i="6"/>
  <c r="AP23" i="6"/>
  <c r="AN23" i="6"/>
  <c r="X23" i="6"/>
  <c r="S23" i="6"/>
  <c r="N23" i="6"/>
  <c r="I23" i="6"/>
  <c r="AN22" i="6"/>
  <c r="AP22" i="6" s="1"/>
  <c r="AN21" i="6"/>
  <c r="AP21" i="6" s="1"/>
  <c r="AP20" i="6"/>
  <c r="AN20" i="6"/>
  <c r="AP19" i="6"/>
  <c r="AN19" i="6"/>
  <c r="AN18" i="6"/>
  <c r="AP18" i="6" s="1"/>
  <c r="AP17" i="6"/>
  <c r="AN17" i="6"/>
  <c r="AP16" i="6"/>
  <c r="AN16" i="6"/>
  <c r="AN15" i="6"/>
  <c r="AP15" i="6" s="1"/>
  <c r="D15" i="6"/>
  <c r="C15" i="6"/>
  <c r="AN14" i="6"/>
  <c r="AP14" i="6" s="1"/>
  <c r="D14" i="6"/>
  <c r="C14" i="6"/>
  <c r="AN13" i="6"/>
  <c r="AP13" i="6" s="1"/>
  <c r="D13" i="6"/>
  <c r="C13" i="6"/>
  <c r="AP12" i="6"/>
  <c r="AN12" i="6"/>
  <c r="D12" i="6"/>
  <c r="C12" i="6"/>
  <c r="C16" i="6" s="1"/>
  <c r="AN11" i="6"/>
  <c r="AP11" i="6" s="1"/>
  <c r="D11" i="6"/>
  <c r="C11" i="6"/>
  <c r="AN10" i="6"/>
  <c r="AP10" i="6" s="1"/>
  <c r="AP9" i="6"/>
  <c r="AN9" i="6"/>
  <c r="AP8" i="6"/>
  <c r="AN8" i="6"/>
  <c r="AN7" i="6"/>
  <c r="AP7" i="6" s="1"/>
  <c r="AP6" i="6"/>
  <c r="AN6" i="6"/>
  <c r="AN5" i="6"/>
  <c r="AP5" i="6" s="1"/>
  <c r="AN4" i="6"/>
  <c r="AP4" i="6" s="1"/>
  <c r="V4" i="6"/>
  <c r="R4" i="6"/>
  <c r="N4" i="6"/>
  <c r="J4" i="6"/>
  <c r="F4" i="6"/>
  <c r="AN3" i="6"/>
  <c r="AP3" i="6" s="1"/>
  <c r="AN65" i="5"/>
  <c r="AP65" i="5" s="1"/>
  <c r="AP64" i="5"/>
  <c r="AN64" i="5"/>
  <c r="AP63" i="5"/>
  <c r="AN63" i="5"/>
  <c r="AN62" i="5"/>
  <c r="AP62" i="5" s="1"/>
  <c r="AN61" i="5"/>
  <c r="AP61" i="5" s="1"/>
  <c r="AP60" i="5"/>
  <c r="AN60" i="5"/>
  <c r="AP59" i="5"/>
  <c r="AN59" i="5"/>
  <c r="AN58" i="5"/>
  <c r="AP58" i="5" s="1"/>
  <c r="AN57" i="5"/>
  <c r="AP57" i="5" s="1"/>
  <c r="AP56" i="5"/>
  <c r="AN56" i="5"/>
  <c r="AP55" i="5"/>
  <c r="AN55" i="5"/>
  <c r="AN54" i="5"/>
  <c r="AP54" i="5" s="1"/>
  <c r="AN53" i="5"/>
  <c r="AP53" i="5" s="1"/>
  <c r="AP52" i="5"/>
  <c r="AN52" i="5"/>
  <c r="AP51" i="5"/>
  <c r="AN51" i="5"/>
  <c r="AN50" i="5"/>
  <c r="AP50" i="5" s="1"/>
  <c r="AN49" i="5"/>
  <c r="AP49" i="5" s="1"/>
  <c r="AP48" i="5"/>
  <c r="AN48" i="5"/>
  <c r="AP47" i="5"/>
  <c r="AN47" i="5"/>
  <c r="AN46" i="5"/>
  <c r="AP46" i="5" s="1"/>
  <c r="AN45" i="5"/>
  <c r="AP45" i="5" s="1"/>
  <c r="AP44" i="5"/>
  <c r="AN44" i="5"/>
  <c r="AP43" i="5"/>
  <c r="AN43" i="5"/>
  <c r="AN42" i="5"/>
  <c r="AP42" i="5" s="1"/>
  <c r="AN41" i="5"/>
  <c r="AP41" i="5" s="1"/>
  <c r="AP40" i="5"/>
  <c r="AN40" i="5"/>
  <c r="AP39" i="5"/>
  <c r="AN39" i="5"/>
  <c r="AN38" i="5"/>
  <c r="AP38" i="5" s="1"/>
  <c r="X38" i="5"/>
  <c r="S38" i="5"/>
  <c r="N38" i="5"/>
  <c r="I38" i="5"/>
  <c r="AN37" i="5"/>
  <c r="AP37" i="5" s="1"/>
  <c r="X37" i="5"/>
  <c r="S37" i="5"/>
  <c r="N37" i="5"/>
  <c r="I37" i="5"/>
  <c r="AP36" i="5"/>
  <c r="AN36" i="5"/>
  <c r="X36" i="5"/>
  <c r="S36" i="5"/>
  <c r="N36" i="5"/>
  <c r="I36" i="5"/>
  <c r="AP35" i="5"/>
  <c r="AN35" i="5"/>
  <c r="X35" i="5"/>
  <c r="S35" i="5"/>
  <c r="N35" i="5"/>
  <c r="I35" i="5"/>
  <c r="AN34" i="5"/>
  <c r="AP34" i="5" s="1"/>
  <c r="X34" i="5"/>
  <c r="S34" i="5"/>
  <c r="N34" i="5"/>
  <c r="I34" i="5"/>
  <c r="AN33" i="5"/>
  <c r="AP33" i="5" s="1"/>
  <c r="X33" i="5"/>
  <c r="S33" i="5"/>
  <c r="N33" i="5"/>
  <c r="I33" i="5"/>
  <c r="AP32" i="5"/>
  <c r="AN32" i="5"/>
  <c r="X32" i="5"/>
  <c r="S32" i="5"/>
  <c r="N32" i="5"/>
  <c r="I32" i="5"/>
  <c r="AP31" i="5"/>
  <c r="AN31" i="5"/>
  <c r="X31" i="5"/>
  <c r="S31" i="5"/>
  <c r="N31" i="5"/>
  <c r="I31" i="5"/>
  <c r="AN30" i="5"/>
  <c r="AP30" i="5" s="1"/>
  <c r="X30" i="5"/>
  <c r="S30" i="5"/>
  <c r="N30" i="5"/>
  <c r="I30" i="5"/>
  <c r="AN29" i="5"/>
  <c r="AP29" i="5" s="1"/>
  <c r="X29" i="5"/>
  <c r="S29" i="5"/>
  <c r="N29" i="5"/>
  <c r="I29" i="5"/>
  <c r="AP28" i="5"/>
  <c r="AN28" i="5"/>
  <c r="X28" i="5"/>
  <c r="S28" i="5"/>
  <c r="N28" i="5"/>
  <c r="I28" i="5"/>
  <c r="AP27" i="5"/>
  <c r="AN27" i="5"/>
  <c r="X27" i="5"/>
  <c r="S27" i="5"/>
  <c r="N27" i="5"/>
  <c r="I27" i="5"/>
  <c r="AN26" i="5"/>
  <c r="AP26" i="5" s="1"/>
  <c r="X26" i="5"/>
  <c r="S26" i="5"/>
  <c r="N26" i="5"/>
  <c r="I26" i="5"/>
  <c r="AN25" i="5"/>
  <c r="AP25" i="5" s="1"/>
  <c r="X25" i="5"/>
  <c r="S25" i="5"/>
  <c r="N25" i="5"/>
  <c r="I25" i="5"/>
  <c r="AP24" i="5"/>
  <c r="AN24" i="5"/>
  <c r="X24" i="5"/>
  <c r="S24" i="5"/>
  <c r="N24" i="5"/>
  <c r="I24" i="5"/>
  <c r="AP23" i="5"/>
  <c r="AN23" i="5"/>
  <c r="X23" i="5"/>
  <c r="S23" i="5"/>
  <c r="N23" i="5"/>
  <c r="I23" i="5"/>
  <c r="AN22" i="5"/>
  <c r="AP22" i="5" s="1"/>
  <c r="AN21" i="5"/>
  <c r="AP21" i="5" s="1"/>
  <c r="AP20" i="5"/>
  <c r="AN20" i="5"/>
  <c r="AP19" i="5"/>
  <c r="AN19" i="5"/>
  <c r="AN18" i="5"/>
  <c r="AP18" i="5" s="1"/>
  <c r="AM18" i="5" s="1"/>
  <c r="AP17" i="5"/>
  <c r="AN17" i="5"/>
  <c r="AP16" i="5"/>
  <c r="AN16" i="5"/>
  <c r="AN15" i="5"/>
  <c r="AP15" i="5" s="1"/>
  <c r="D15" i="5"/>
  <c r="C15" i="5"/>
  <c r="AN14" i="5"/>
  <c r="AP14" i="5" s="1"/>
  <c r="D14" i="5"/>
  <c r="C14" i="5"/>
  <c r="AN13" i="5"/>
  <c r="AP13" i="5" s="1"/>
  <c r="D13" i="5"/>
  <c r="C13" i="5"/>
  <c r="AP12" i="5"/>
  <c r="AN12" i="5"/>
  <c r="D12" i="5"/>
  <c r="C12" i="5"/>
  <c r="C16" i="5" s="1"/>
  <c r="AN11" i="5"/>
  <c r="AP11" i="5" s="1"/>
  <c r="D11" i="5"/>
  <c r="C11" i="5"/>
  <c r="AN10" i="5"/>
  <c r="AP10" i="5" s="1"/>
  <c r="AP9" i="5"/>
  <c r="AN9" i="5"/>
  <c r="AP8" i="5"/>
  <c r="AN8" i="5"/>
  <c r="AN7" i="5"/>
  <c r="AP7" i="5" s="1"/>
  <c r="AP6" i="5"/>
  <c r="AN6" i="5"/>
  <c r="AN5" i="5"/>
  <c r="AP5" i="5" s="1"/>
  <c r="AN4" i="5"/>
  <c r="AP4" i="5" s="1"/>
  <c r="V4" i="5"/>
  <c r="R4" i="5"/>
  <c r="N4" i="5"/>
  <c r="J4" i="5"/>
  <c r="F4" i="5"/>
  <c r="AN3" i="5"/>
  <c r="AP3" i="5" s="1"/>
  <c r="AN65" i="4"/>
  <c r="AP65" i="4" s="1"/>
  <c r="AP64" i="4"/>
  <c r="AN64" i="4"/>
  <c r="AP63" i="4"/>
  <c r="AN63" i="4"/>
  <c r="AN62" i="4"/>
  <c r="AP62" i="4" s="1"/>
  <c r="AN61" i="4"/>
  <c r="AP61" i="4" s="1"/>
  <c r="AP60" i="4"/>
  <c r="AN60" i="4"/>
  <c r="AP59" i="4"/>
  <c r="AN59" i="4"/>
  <c r="AN58" i="4"/>
  <c r="AP58" i="4" s="1"/>
  <c r="AN57" i="4"/>
  <c r="AP57" i="4" s="1"/>
  <c r="AP56" i="4"/>
  <c r="AN56" i="4"/>
  <c r="AP55" i="4"/>
  <c r="AN55" i="4"/>
  <c r="AN54" i="4"/>
  <c r="AP54" i="4" s="1"/>
  <c r="AN53" i="4"/>
  <c r="AP53" i="4" s="1"/>
  <c r="AP52" i="4"/>
  <c r="AN52" i="4"/>
  <c r="AP51" i="4"/>
  <c r="AN51" i="4"/>
  <c r="AN50" i="4"/>
  <c r="AP50" i="4" s="1"/>
  <c r="AN49" i="4"/>
  <c r="AP49" i="4" s="1"/>
  <c r="AP48" i="4"/>
  <c r="AN48" i="4"/>
  <c r="AP47" i="4"/>
  <c r="AN47" i="4"/>
  <c r="AN46" i="4"/>
  <c r="AP46" i="4" s="1"/>
  <c r="AN45" i="4"/>
  <c r="AP45" i="4" s="1"/>
  <c r="AP44" i="4"/>
  <c r="AN44" i="4"/>
  <c r="AP43" i="4"/>
  <c r="AN43" i="4"/>
  <c r="AN42" i="4"/>
  <c r="AP42" i="4" s="1"/>
  <c r="AN41" i="4"/>
  <c r="AP41" i="4" s="1"/>
  <c r="AP40" i="4"/>
  <c r="AN40" i="4"/>
  <c r="AP39" i="4"/>
  <c r="AN39" i="4"/>
  <c r="AN38" i="4"/>
  <c r="AP38" i="4" s="1"/>
  <c r="X38" i="4"/>
  <c r="S38" i="4"/>
  <c r="N38" i="4"/>
  <c r="I38" i="4"/>
  <c r="AN37" i="4"/>
  <c r="AP37" i="4" s="1"/>
  <c r="X37" i="4"/>
  <c r="S37" i="4"/>
  <c r="N37" i="4"/>
  <c r="I37" i="4"/>
  <c r="AP36" i="4"/>
  <c r="AN36" i="4"/>
  <c r="X36" i="4"/>
  <c r="S36" i="4"/>
  <c r="N36" i="4"/>
  <c r="I36" i="4"/>
  <c r="AP35" i="4"/>
  <c r="AN35" i="4"/>
  <c r="X35" i="4"/>
  <c r="S35" i="4"/>
  <c r="N35" i="4"/>
  <c r="I35" i="4"/>
  <c r="AN34" i="4"/>
  <c r="AP34" i="4" s="1"/>
  <c r="X34" i="4"/>
  <c r="S34" i="4"/>
  <c r="N34" i="4"/>
  <c r="I34" i="4"/>
  <c r="AN33" i="4"/>
  <c r="AP33" i="4" s="1"/>
  <c r="X33" i="4"/>
  <c r="S33" i="4"/>
  <c r="N33" i="4"/>
  <c r="I33" i="4"/>
  <c r="AP32" i="4"/>
  <c r="AN32" i="4"/>
  <c r="X32" i="4"/>
  <c r="S32" i="4"/>
  <c r="N32" i="4"/>
  <c r="I32" i="4"/>
  <c r="AP31" i="4"/>
  <c r="AN31" i="4"/>
  <c r="X31" i="4"/>
  <c r="S31" i="4"/>
  <c r="N31" i="4"/>
  <c r="I31" i="4"/>
  <c r="AN30" i="4"/>
  <c r="AP30" i="4" s="1"/>
  <c r="X30" i="4"/>
  <c r="S30" i="4"/>
  <c r="N30" i="4"/>
  <c r="I30" i="4"/>
  <c r="AN29" i="4"/>
  <c r="AP29" i="4" s="1"/>
  <c r="X29" i="4"/>
  <c r="S29" i="4"/>
  <c r="N29" i="4"/>
  <c r="I29" i="4"/>
  <c r="AP28" i="4"/>
  <c r="AN28" i="4"/>
  <c r="X28" i="4"/>
  <c r="S28" i="4"/>
  <c r="N28" i="4"/>
  <c r="I28" i="4"/>
  <c r="AP27" i="4"/>
  <c r="AN27" i="4"/>
  <c r="X27" i="4"/>
  <c r="S27" i="4"/>
  <c r="N27" i="4"/>
  <c r="I27" i="4"/>
  <c r="AN26" i="4"/>
  <c r="AP26" i="4" s="1"/>
  <c r="X26" i="4"/>
  <c r="S26" i="4"/>
  <c r="N26" i="4"/>
  <c r="I26" i="4"/>
  <c r="AN25" i="4"/>
  <c r="AP25" i="4" s="1"/>
  <c r="X25" i="4"/>
  <c r="S25" i="4"/>
  <c r="N25" i="4"/>
  <c r="I25" i="4"/>
  <c r="AP24" i="4"/>
  <c r="AN24" i="4"/>
  <c r="X24" i="4"/>
  <c r="S24" i="4"/>
  <c r="N24" i="4"/>
  <c r="I24" i="4"/>
  <c r="AP23" i="4"/>
  <c r="AN23" i="4"/>
  <c r="X23" i="4"/>
  <c r="S23" i="4"/>
  <c r="N23" i="4"/>
  <c r="I23" i="4"/>
  <c r="AN22" i="4"/>
  <c r="AP22" i="4" s="1"/>
  <c r="AN21" i="4"/>
  <c r="AP21" i="4" s="1"/>
  <c r="AP20" i="4"/>
  <c r="AN20" i="4"/>
  <c r="AP19" i="4"/>
  <c r="AN19" i="4"/>
  <c r="AN18" i="4"/>
  <c r="AP18" i="4" s="1"/>
  <c r="AP17" i="4"/>
  <c r="AN17" i="4"/>
  <c r="AP16" i="4"/>
  <c r="AN16" i="4"/>
  <c r="AN15" i="4"/>
  <c r="AP15" i="4" s="1"/>
  <c r="D15" i="4"/>
  <c r="C15" i="4"/>
  <c r="AN14" i="4"/>
  <c r="AP14" i="4" s="1"/>
  <c r="D14" i="4"/>
  <c r="C14" i="4"/>
  <c r="AN13" i="4"/>
  <c r="AP13" i="4" s="1"/>
  <c r="D13" i="4"/>
  <c r="C13" i="4"/>
  <c r="AP12" i="4"/>
  <c r="AN12" i="4"/>
  <c r="D12" i="4"/>
  <c r="C12" i="4"/>
  <c r="C16" i="4" s="1"/>
  <c r="AN11" i="4"/>
  <c r="AP11" i="4" s="1"/>
  <c r="D11" i="4"/>
  <c r="C11" i="4"/>
  <c r="AN10" i="4"/>
  <c r="AP10" i="4" s="1"/>
  <c r="AP9" i="4"/>
  <c r="AN9" i="4"/>
  <c r="AP8" i="4"/>
  <c r="AN8" i="4"/>
  <c r="AN7" i="4"/>
  <c r="AP7" i="4" s="1"/>
  <c r="AP6" i="4"/>
  <c r="AN6" i="4"/>
  <c r="AN5" i="4"/>
  <c r="AP5" i="4" s="1"/>
  <c r="AN4" i="4"/>
  <c r="AP4" i="4" s="1"/>
  <c r="V4" i="4"/>
  <c r="R4" i="4"/>
  <c r="N4" i="4"/>
  <c r="J4" i="4"/>
  <c r="F4" i="4"/>
  <c r="AN3" i="4"/>
  <c r="AP3" i="4" s="1"/>
  <c r="AM7" i="4" s="1"/>
  <c r="AN65" i="3"/>
  <c r="AP65" i="3" s="1"/>
  <c r="AP64" i="3"/>
  <c r="AN64" i="3"/>
  <c r="AP63" i="3"/>
  <c r="AN63" i="3"/>
  <c r="AN62" i="3"/>
  <c r="AP62" i="3" s="1"/>
  <c r="AN61" i="3"/>
  <c r="AP61" i="3" s="1"/>
  <c r="AP60" i="3"/>
  <c r="AN60" i="3"/>
  <c r="AP59" i="3"/>
  <c r="AN59" i="3"/>
  <c r="AN58" i="3"/>
  <c r="AP58" i="3" s="1"/>
  <c r="AN57" i="3"/>
  <c r="AP57" i="3" s="1"/>
  <c r="AP56" i="3"/>
  <c r="AN56" i="3"/>
  <c r="AP55" i="3"/>
  <c r="AN55" i="3"/>
  <c r="AN54" i="3"/>
  <c r="AP54" i="3" s="1"/>
  <c r="AN53" i="3"/>
  <c r="AP53" i="3" s="1"/>
  <c r="AP52" i="3"/>
  <c r="AN52" i="3"/>
  <c r="AP51" i="3"/>
  <c r="AN51" i="3"/>
  <c r="AN50" i="3"/>
  <c r="AP50" i="3" s="1"/>
  <c r="AN49" i="3"/>
  <c r="AP49" i="3" s="1"/>
  <c r="AP48" i="3"/>
  <c r="AN48" i="3"/>
  <c r="AP47" i="3"/>
  <c r="AN47" i="3"/>
  <c r="AN46" i="3"/>
  <c r="AP46" i="3" s="1"/>
  <c r="AN45" i="3"/>
  <c r="AP45" i="3" s="1"/>
  <c r="AP44" i="3"/>
  <c r="AN44" i="3"/>
  <c r="AP43" i="3"/>
  <c r="AN43" i="3"/>
  <c r="AN42" i="3"/>
  <c r="AP42" i="3" s="1"/>
  <c r="AN41" i="3"/>
  <c r="AP41" i="3" s="1"/>
  <c r="AP40" i="3"/>
  <c r="AN40" i="3"/>
  <c r="AP39" i="3"/>
  <c r="AN39" i="3"/>
  <c r="AN38" i="3"/>
  <c r="AP38" i="3" s="1"/>
  <c r="X38" i="3"/>
  <c r="S38" i="3"/>
  <c r="N38" i="3"/>
  <c r="I38" i="3"/>
  <c r="AN37" i="3"/>
  <c r="AP37" i="3" s="1"/>
  <c r="X37" i="3"/>
  <c r="S37" i="3"/>
  <c r="N37" i="3"/>
  <c r="I37" i="3"/>
  <c r="AP36" i="3"/>
  <c r="AN36" i="3"/>
  <c r="X36" i="3"/>
  <c r="S36" i="3"/>
  <c r="N36" i="3"/>
  <c r="I36" i="3"/>
  <c r="AP35" i="3"/>
  <c r="AN35" i="3"/>
  <c r="X35" i="3"/>
  <c r="S35" i="3"/>
  <c r="N35" i="3"/>
  <c r="I35" i="3"/>
  <c r="AN34" i="3"/>
  <c r="AP34" i="3" s="1"/>
  <c r="X34" i="3"/>
  <c r="S34" i="3"/>
  <c r="N34" i="3"/>
  <c r="I34" i="3"/>
  <c r="AN33" i="3"/>
  <c r="AP33" i="3" s="1"/>
  <c r="X33" i="3"/>
  <c r="S33" i="3"/>
  <c r="N33" i="3"/>
  <c r="I33" i="3"/>
  <c r="AP32" i="3"/>
  <c r="AN32" i="3"/>
  <c r="X32" i="3"/>
  <c r="S32" i="3"/>
  <c r="N32" i="3"/>
  <c r="I32" i="3"/>
  <c r="AP31" i="3"/>
  <c r="AN31" i="3"/>
  <c r="X31" i="3"/>
  <c r="S31" i="3"/>
  <c r="N31" i="3"/>
  <c r="I31" i="3"/>
  <c r="AN30" i="3"/>
  <c r="AP30" i="3" s="1"/>
  <c r="X30" i="3"/>
  <c r="S30" i="3"/>
  <c r="N30" i="3"/>
  <c r="I30" i="3"/>
  <c r="AN29" i="3"/>
  <c r="AP29" i="3" s="1"/>
  <c r="X29" i="3"/>
  <c r="S29" i="3"/>
  <c r="N29" i="3"/>
  <c r="I29" i="3"/>
  <c r="AP28" i="3"/>
  <c r="AN28" i="3"/>
  <c r="X28" i="3"/>
  <c r="S28" i="3"/>
  <c r="N28" i="3"/>
  <c r="I28" i="3"/>
  <c r="AP27" i="3"/>
  <c r="AN27" i="3"/>
  <c r="X27" i="3"/>
  <c r="S27" i="3"/>
  <c r="N27" i="3"/>
  <c r="I27" i="3"/>
  <c r="AN26" i="3"/>
  <c r="AP26" i="3" s="1"/>
  <c r="X26" i="3"/>
  <c r="S26" i="3"/>
  <c r="N26" i="3"/>
  <c r="I26" i="3"/>
  <c r="AN25" i="3"/>
  <c r="AP25" i="3" s="1"/>
  <c r="X25" i="3"/>
  <c r="S25" i="3"/>
  <c r="N25" i="3"/>
  <c r="I25" i="3"/>
  <c r="AP24" i="3"/>
  <c r="AN24" i="3"/>
  <c r="X24" i="3"/>
  <c r="S24" i="3"/>
  <c r="N24" i="3"/>
  <c r="I24" i="3"/>
  <c r="AP23" i="3"/>
  <c r="AN23" i="3"/>
  <c r="X23" i="3"/>
  <c r="S23" i="3"/>
  <c r="N23" i="3"/>
  <c r="I23" i="3"/>
  <c r="AN22" i="3"/>
  <c r="AP22" i="3" s="1"/>
  <c r="AN21" i="3"/>
  <c r="AP21" i="3" s="1"/>
  <c r="AP20" i="3"/>
  <c r="AN20" i="3"/>
  <c r="AP19" i="3"/>
  <c r="AN19" i="3"/>
  <c r="AN18" i="3"/>
  <c r="AP18" i="3" s="1"/>
  <c r="AP17" i="3"/>
  <c r="AN17" i="3"/>
  <c r="AP16" i="3"/>
  <c r="AN16" i="3"/>
  <c r="AN15" i="3"/>
  <c r="AP15" i="3" s="1"/>
  <c r="D15" i="3"/>
  <c r="C15" i="3"/>
  <c r="AN14" i="3"/>
  <c r="AP14" i="3" s="1"/>
  <c r="D14" i="3"/>
  <c r="C14" i="3"/>
  <c r="AN13" i="3"/>
  <c r="AP13" i="3" s="1"/>
  <c r="D13" i="3"/>
  <c r="C13" i="3"/>
  <c r="AP12" i="3"/>
  <c r="AN12" i="3"/>
  <c r="D12" i="3"/>
  <c r="C12" i="3"/>
  <c r="C16" i="3" s="1"/>
  <c r="AN11" i="3"/>
  <c r="AP11" i="3" s="1"/>
  <c r="D11" i="3"/>
  <c r="C11" i="3"/>
  <c r="AN10" i="3"/>
  <c r="AP10" i="3" s="1"/>
  <c r="AP9" i="3"/>
  <c r="AN9" i="3"/>
  <c r="AP8" i="3"/>
  <c r="AN8" i="3"/>
  <c r="AN7" i="3"/>
  <c r="AP7" i="3" s="1"/>
  <c r="AP6" i="3"/>
  <c r="AN6" i="3"/>
  <c r="AN5" i="3"/>
  <c r="AP5" i="3" s="1"/>
  <c r="AN4" i="3"/>
  <c r="AP4" i="3" s="1"/>
  <c r="V4" i="3"/>
  <c r="R4" i="3"/>
  <c r="N4" i="3"/>
  <c r="J4" i="3"/>
  <c r="F4" i="3"/>
  <c r="AN3" i="3"/>
  <c r="AP3" i="3" s="1"/>
  <c r="G17" i="1"/>
  <c r="F17" i="1"/>
  <c r="E17" i="1"/>
  <c r="D17" i="1"/>
  <c r="H17" i="1" s="1"/>
  <c r="C17" i="1"/>
  <c r="G16" i="1"/>
  <c r="F16" i="1"/>
  <c r="E16" i="1"/>
  <c r="D16" i="1"/>
  <c r="C16" i="1"/>
  <c r="G15" i="1"/>
  <c r="F15" i="1"/>
  <c r="E15" i="1"/>
  <c r="D15" i="1"/>
  <c r="C15" i="1"/>
  <c r="G14" i="1"/>
  <c r="F14" i="1"/>
  <c r="E14" i="1"/>
  <c r="D14" i="1"/>
  <c r="H14" i="1" s="1"/>
  <c r="C14" i="1"/>
  <c r="H13" i="1"/>
  <c r="G13" i="1"/>
  <c r="F13" i="1"/>
  <c r="E13" i="1"/>
  <c r="D13" i="1"/>
  <c r="C13" i="1"/>
  <c r="G12" i="1"/>
  <c r="F12" i="1"/>
  <c r="E12" i="1"/>
  <c r="D12" i="1"/>
  <c r="C12" i="1"/>
  <c r="G11" i="1"/>
  <c r="F11" i="1"/>
  <c r="E11" i="1"/>
  <c r="D11" i="1"/>
  <c r="H11" i="1" s="1"/>
  <c r="C11" i="1"/>
  <c r="G10" i="1"/>
  <c r="F10" i="1"/>
  <c r="E10" i="1"/>
  <c r="D10" i="1"/>
  <c r="C10" i="1"/>
  <c r="G9" i="1"/>
  <c r="F9" i="1"/>
  <c r="E9" i="1"/>
  <c r="D9" i="1"/>
  <c r="H9" i="1" s="1"/>
  <c r="C9" i="1"/>
  <c r="G8" i="1"/>
  <c r="F8" i="1"/>
  <c r="E8" i="1"/>
  <c r="D8" i="1"/>
  <c r="C8" i="1"/>
  <c r="G7" i="1"/>
  <c r="F7" i="1"/>
  <c r="E7" i="1"/>
  <c r="D7" i="1"/>
  <c r="C7" i="1"/>
  <c r="G6" i="1"/>
  <c r="F6" i="1"/>
  <c r="F18" i="1" s="1"/>
  <c r="E6" i="1"/>
  <c r="D6" i="1"/>
  <c r="D18" i="1" s="1"/>
  <c r="C6" i="1"/>
  <c r="J4" i="1"/>
  <c r="AM18" i="3" l="1"/>
  <c r="AM28" i="3"/>
  <c r="AM42" i="3"/>
  <c r="AM58" i="3"/>
  <c r="AM18" i="4"/>
  <c r="AM34" i="4"/>
  <c r="AM44" i="4"/>
  <c r="AM58" i="4"/>
  <c r="AM10" i="5"/>
  <c r="AM28" i="5"/>
  <c r="AM42" i="5"/>
  <c r="AM58" i="5"/>
  <c r="AM18" i="6"/>
  <c r="AM28" i="6"/>
  <c r="AM42" i="6"/>
  <c r="AM50" i="6"/>
  <c r="AM52" i="6"/>
  <c r="AM58" i="6"/>
  <c r="AM60" i="6"/>
  <c r="AM57" i="7"/>
  <c r="AM65" i="7"/>
  <c r="AM60" i="7"/>
  <c r="AM3" i="7"/>
  <c r="AM44" i="7"/>
  <c r="AM41" i="7"/>
  <c r="AM10" i="7"/>
  <c r="AM13" i="7"/>
  <c r="AM22" i="7"/>
  <c r="AM24" i="7"/>
  <c r="AM30" i="7"/>
  <c r="AM32" i="7"/>
  <c r="AM38" i="7"/>
  <c r="AM40" i="7"/>
  <c r="AM46" i="7"/>
  <c r="AM49" i="7"/>
  <c r="AM52" i="7"/>
  <c r="AM54" i="7"/>
  <c r="AM42" i="9"/>
  <c r="AM44" i="9"/>
  <c r="H15" i="1"/>
  <c r="AM15" i="3"/>
  <c r="AM21" i="3"/>
  <c r="AM29" i="3"/>
  <c r="AM37" i="3"/>
  <c r="AM45" i="3"/>
  <c r="AM53" i="3"/>
  <c r="AM61" i="3"/>
  <c r="AM15" i="4"/>
  <c r="AM21" i="4"/>
  <c r="AM29" i="4"/>
  <c r="AM37" i="4"/>
  <c r="AM45" i="4"/>
  <c r="AM53" i="4"/>
  <c r="AM61" i="4"/>
  <c r="AM15" i="5"/>
  <c r="AM21" i="5"/>
  <c r="AM29" i="5"/>
  <c r="AM37" i="5"/>
  <c r="AM45" i="5"/>
  <c r="AM53" i="5"/>
  <c r="AM61" i="5"/>
  <c r="AM15" i="6"/>
  <c r="AM21" i="6"/>
  <c r="AM29" i="6"/>
  <c r="AM37" i="6"/>
  <c r="AM45" i="6"/>
  <c r="AM53" i="6"/>
  <c r="AM61" i="6"/>
  <c r="AM25" i="7"/>
  <c r="AM33" i="7"/>
  <c r="AM47" i="7"/>
  <c r="AM54" i="9"/>
  <c r="AM3" i="3"/>
  <c r="AM4" i="3"/>
  <c r="AM26" i="3"/>
  <c r="AM36" i="3"/>
  <c r="AM50" i="3"/>
  <c r="AM60" i="3"/>
  <c r="AM10" i="4"/>
  <c r="AM26" i="4"/>
  <c r="AM36" i="4"/>
  <c r="AM50" i="4"/>
  <c r="AM60" i="4"/>
  <c r="AM3" i="5"/>
  <c r="AM4" i="5"/>
  <c r="AM20" i="5"/>
  <c r="AM34" i="5"/>
  <c r="AM44" i="5"/>
  <c r="AM52" i="5"/>
  <c r="AM3" i="6"/>
  <c r="AM4" i="6"/>
  <c r="AM20" i="6"/>
  <c r="AM34" i="6"/>
  <c r="AM44" i="6"/>
  <c r="AM7" i="3"/>
  <c r="AM22" i="3"/>
  <c r="AM30" i="3"/>
  <c r="AM38" i="3"/>
  <c r="AM46" i="3"/>
  <c r="AM54" i="3"/>
  <c r="AM62" i="3"/>
  <c r="AM22" i="4"/>
  <c r="AM30" i="4"/>
  <c r="AM38" i="4"/>
  <c r="AM46" i="4"/>
  <c r="AM54" i="4"/>
  <c r="AM62" i="4"/>
  <c r="AM7" i="5"/>
  <c r="D16" i="5"/>
  <c r="AM14" i="5"/>
  <c r="AM22" i="5"/>
  <c r="AM24" i="5"/>
  <c r="AM30" i="5"/>
  <c r="AM32" i="5"/>
  <c r="AM38" i="5"/>
  <c r="AM40" i="5"/>
  <c r="AM46" i="5"/>
  <c r="AM48" i="5"/>
  <c r="AM54" i="5"/>
  <c r="AM56" i="5"/>
  <c r="AM62" i="5"/>
  <c r="AM64" i="5"/>
  <c r="AM7" i="6"/>
  <c r="D16" i="6"/>
  <c r="AM14" i="6"/>
  <c r="AM22" i="6"/>
  <c r="AM24" i="6"/>
  <c r="AM30" i="6"/>
  <c r="AM32" i="6"/>
  <c r="AM38" i="6"/>
  <c r="AM40" i="6"/>
  <c r="AM46" i="6"/>
  <c r="AM48" i="6"/>
  <c r="AM54" i="6"/>
  <c r="AM56" i="6"/>
  <c r="AM62" i="6"/>
  <c r="AM64" i="6"/>
  <c r="AM4" i="7"/>
  <c r="AM7" i="7"/>
  <c r="AM18" i="7"/>
  <c r="AM20" i="7"/>
  <c r="AM26" i="7"/>
  <c r="AM28" i="7"/>
  <c r="AM34" i="7"/>
  <c r="AM36" i="7"/>
  <c r="AM35" i="8"/>
  <c r="AM43" i="8"/>
  <c r="AM51" i="8"/>
  <c r="AM22" i="9"/>
  <c r="AM24" i="9"/>
  <c r="AM10" i="3"/>
  <c r="AM20" i="3"/>
  <c r="AM34" i="3"/>
  <c r="AM44" i="3"/>
  <c r="AM52" i="3"/>
  <c r="AM3" i="4"/>
  <c r="AM4" i="4"/>
  <c r="AM20" i="4"/>
  <c r="AM28" i="4"/>
  <c r="AM42" i="4"/>
  <c r="AM52" i="4"/>
  <c r="AM26" i="5"/>
  <c r="AM36" i="5"/>
  <c r="AM50" i="5"/>
  <c r="AM60" i="5"/>
  <c r="AM10" i="6"/>
  <c r="AM26" i="6"/>
  <c r="AM36" i="6"/>
  <c r="V4" i="1"/>
  <c r="D16" i="3"/>
  <c r="AM14" i="3"/>
  <c r="AM24" i="3"/>
  <c r="AM32" i="3"/>
  <c r="AM40" i="3"/>
  <c r="AM48" i="3"/>
  <c r="AM56" i="3"/>
  <c r="AM64" i="3"/>
  <c r="D16" i="4"/>
  <c r="AM14" i="4"/>
  <c r="AM24" i="4"/>
  <c r="AM32" i="4"/>
  <c r="AM40" i="4"/>
  <c r="AM48" i="4"/>
  <c r="AM56" i="4"/>
  <c r="AM64" i="4"/>
  <c r="AM5" i="3"/>
  <c r="AM9" i="3"/>
  <c r="AM11" i="3"/>
  <c r="AM13" i="3"/>
  <c r="AM25" i="3"/>
  <c r="AM33" i="3"/>
  <c r="AM41" i="3"/>
  <c r="AM49" i="3"/>
  <c r="AM57" i="3"/>
  <c r="AM65" i="3"/>
  <c r="AM5" i="4"/>
  <c r="AM9" i="4"/>
  <c r="AM11" i="4"/>
  <c r="AM13" i="4"/>
  <c r="AM25" i="4"/>
  <c r="AM33" i="4"/>
  <c r="AM41" i="4"/>
  <c r="AM49" i="4"/>
  <c r="AM57" i="4"/>
  <c r="AM65" i="4"/>
  <c r="AM5" i="5"/>
  <c r="AM9" i="5"/>
  <c r="AM11" i="5"/>
  <c r="AM13" i="5"/>
  <c r="AM25" i="5"/>
  <c r="AM33" i="5"/>
  <c r="AM41" i="5"/>
  <c r="AM49" i="5"/>
  <c r="AM57" i="5"/>
  <c r="AM65" i="5"/>
  <c r="AM5" i="6"/>
  <c r="AM9" i="6"/>
  <c r="AM11" i="6"/>
  <c r="AM13" i="6"/>
  <c r="AM25" i="6"/>
  <c r="AM33" i="6"/>
  <c r="AM41" i="6"/>
  <c r="AM49" i="6"/>
  <c r="AM57" i="6"/>
  <c r="AM65" i="6"/>
  <c r="AM5" i="7"/>
  <c r="AM9" i="7"/>
  <c r="AM14" i="7"/>
  <c r="AM21" i="7"/>
  <c r="AM29" i="7"/>
  <c r="AM37" i="7"/>
  <c r="AM42" i="7"/>
  <c r="AM63" i="7"/>
  <c r="AM3" i="8"/>
  <c r="AM17" i="8"/>
  <c r="AM16" i="8"/>
  <c r="AM64" i="8"/>
  <c r="AM62" i="8"/>
  <c r="AM58" i="8"/>
  <c r="AM56" i="8"/>
  <c r="AM54" i="8"/>
  <c r="AM50" i="8"/>
  <c r="AM48" i="8"/>
  <c r="AM46" i="8"/>
  <c r="AM42" i="8"/>
  <c r="AM40" i="8"/>
  <c r="AM38" i="8"/>
  <c r="AM34" i="8"/>
  <c r="AM32" i="8"/>
  <c r="AM30" i="8"/>
  <c r="AM26" i="8"/>
  <c r="AM24" i="8"/>
  <c r="AM22" i="8"/>
  <c r="AM18" i="8"/>
  <c r="AM15" i="8"/>
  <c r="AM12" i="8"/>
  <c r="AM6" i="8"/>
  <c r="AM31" i="9"/>
  <c r="AM56" i="9"/>
  <c r="AM61" i="9"/>
  <c r="AM63" i="9"/>
  <c r="AM27" i="10"/>
  <c r="AM29" i="10"/>
  <c r="AM32" i="10"/>
  <c r="AM34" i="10"/>
  <c r="AM46" i="10"/>
  <c r="AM57" i="10"/>
  <c r="AM46" i="11"/>
  <c r="AM48" i="11"/>
  <c r="AM5" i="12"/>
  <c r="X10" i="12" s="1"/>
  <c r="AM7" i="12"/>
  <c r="W13" i="12" s="1"/>
  <c r="AM45" i="12"/>
  <c r="AM14" i="12"/>
  <c r="AM34" i="12"/>
  <c r="AM32" i="12"/>
  <c r="AM24" i="12"/>
  <c r="AM22" i="12"/>
  <c r="AM13" i="12"/>
  <c r="AM37" i="12"/>
  <c r="AM25" i="12"/>
  <c r="AM9" i="12"/>
  <c r="AM62" i="12"/>
  <c r="AM65" i="12"/>
  <c r="AM59" i="13"/>
  <c r="AM61" i="13"/>
  <c r="S4" i="1"/>
  <c r="P4" i="1"/>
  <c r="M4" i="1"/>
  <c r="H7" i="1"/>
  <c r="H12" i="1"/>
  <c r="E18" i="1"/>
  <c r="H18" i="1" s="1"/>
  <c r="AM8" i="3"/>
  <c r="AM12" i="3"/>
  <c r="AM8" i="4"/>
  <c r="AM12" i="4"/>
  <c r="AM8" i="5"/>
  <c r="AM12" i="5"/>
  <c r="AM8" i="6"/>
  <c r="AM12" i="6"/>
  <c r="AM8" i="7"/>
  <c r="AM12" i="7"/>
  <c r="AM43" i="7"/>
  <c r="AM45" i="7"/>
  <c r="AM55" i="7"/>
  <c r="AM58" i="7"/>
  <c r="AM8" i="8"/>
  <c r="D16" i="8"/>
  <c r="AM25" i="8"/>
  <c r="AM33" i="8"/>
  <c r="AM41" i="8"/>
  <c r="AM49" i="8"/>
  <c r="AM57" i="8"/>
  <c r="AM65" i="8"/>
  <c r="AM18" i="9"/>
  <c r="AM20" i="9"/>
  <c r="AM30" i="9"/>
  <c r="AM32" i="9"/>
  <c r="AM37" i="9"/>
  <c r="AM39" i="9"/>
  <c r="AM50" i="9"/>
  <c r="AM52" i="9"/>
  <c r="AM62" i="9"/>
  <c r="AM64" i="9"/>
  <c r="AM42" i="10"/>
  <c r="AM11" i="10"/>
  <c r="AM15" i="10"/>
  <c r="AM25" i="10"/>
  <c r="AM52" i="10"/>
  <c r="AM55" i="10"/>
  <c r="AM10" i="11"/>
  <c r="D16" i="11"/>
  <c r="AM12" i="11"/>
  <c r="AM26" i="11"/>
  <c r="AM37" i="11"/>
  <c r="AM56" i="11"/>
  <c r="AM59" i="11"/>
  <c r="AM30" i="12"/>
  <c r="AM35" i="12"/>
  <c r="AM54" i="12"/>
  <c r="AM57" i="12"/>
  <c r="AM59" i="12"/>
  <c r="AM61" i="12"/>
  <c r="AM52" i="13"/>
  <c r="H10" i="1"/>
  <c r="AM19" i="3"/>
  <c r="AM23" i="3"/>
  <c r="AM27" i="3"/>
  <c r="AM31" i="3"/>
  <c r="AM35" i="3"/>
  <c r="AM39" i="3"/>
  <c r="AM47" i="3"/>
  <c r="AM51" i="3"/>
  <c r="AM59" i="3"/>
  <c r="AM63" i="3"/>
  <c r="AM17" i="4"/>
  <c r="AM23" i="4"/>
  <c r="AM27" i="4"/>
  <c r="AM31" i="4"/>
  <c r="AM35" i="4"/>
  <c r="AM39" i="4"/>
  <c r="AM47" i="4"/>
  <c r="AM51" i="4"/>
  <c r="AM59" i="4"/>
  <c r="AM17" i="5"/>
  <c r="AM19" i="5"/>
  <c r="AM23" i="5"/>
  <c r="AM27" i="5"/>
  <c r="AM31" i="5"/>
  <c r="AM35" i="5"/>
  <c r="AM39" i="5"/>
  <c r="AM43" i="5"/>
  <c r="AM47" i="5"/>
  <c r="AM51" i="5"/>
  <c r="AM55" i="5"/>
  <c r="AM59" i="5"/>
  <c r="AM63" i="5"/>
  <c r="AM17" i="6"/>
  <c r="AM19" i="6"/>
  <c r="AM23" i="6"/>
  <c r="AM27" i="6"/>
  <c r="AM31" i="6"/>
  <c r="AM35" i="6"/>
  <c r="AM39" i="6"/>
  <c r="AM43" i="6"/>
  <c r="AM47" i="6"/>
  <c r="AM51" i="6"/>
  <c r="AM55" i="6"/>
  <c r="AM59" i="6"/>
  <c r="AM63" i="6"/>
  <c r="AM17" i="7"/>
  <c r="AM19" i="7"/>
  <c r="AM23" i="7"/>
  <c r="AM27" i="7"/>
  <c r="AM31" i="7"/>
  <c r="AM35" i="7"/>
  <c r="AM39" i="7"/>
  <c r="AM50" i="7"/>
  <c r="AM59" i="7"/>
  <c r="AM61" i="7"/>
  <c r="AM64" i="7"/>
  <c r="AM4" i="8"/>
  <c r="AM9" i="8"/>
  <c r="AM20" i="8"/>
  <c r="AM23" i="8"/>
  <c r="AM28" i="8"/>
  <c r="AM31" i="8"/>
  <c r="AM36" i="8"/>
  <c r="AM39" i="8"/>
  <c r="AM44" i="8"/>
  <c r="AM47" i="8"/>
  <c r="AM52" i="8"/>
  <c r="AM55" i="8"/>
  <c r="AM60" i="8"/>
  <c r="AM63" i="8"/>
  <c r="AM8" i="9"/>
  <c r="X9" i="9" s="1"/>
  <c r="AM26" i="9"/>
  <c r="AM28" i="9"/>
  <c r="AM38" i="9"/>
  <c r="AM40" i="9"/>
  <c r="AM45" i="9"/>
  <c r="AM47" i="9"/>
  <c r="AM58" i="9"/>
  <c r="AM60" i="9"/>
  <c r="AM10" i="10"/>
  <c r="AM13" i="10"/>
  <c r="AM20" i="10"/>
  <c r="AM23" i="10"/>
  <c r="AM40" i="10"/>
  <c r="AM61" i="11"/>
  <c r="AM22" i="11"/>
  <c r="AM14" i="11"/>
  <c r="AM5" i="11"/>
  <c r="AM53" i="11"/>
  <c r="AM30" i="11"/>
  <c r="AM28" i="11"/>
  <c r="AM23" i="11"/>
  <c r="AM9" i="11"/>
  <c r="AM38" i="11"/>
  <c r="AM36" i="11"/>
  <c r="AM31" i="11"/>
  <c r="AM8" i="11"/>
  <c r="AM16" i="11"/>
  <c r="AM32" i="11"/>
  <c r="AM35" i="11"/>
  <c r="AM54" i="11"/>
  <c r="AM16" i="12"/>
  <c r="AM18" i="12"/>
  <c r="AM20" i="12"/>
  <c r="AM43" i="12"/>
  <c r="AM46" i="13"/>
  <c r="AM49" i="13"/>
  <c r="AM17" i="3"/>
  <c r="AM43" i="3"/>
  <c r="AM55" i="3"/>
  <c r="AM19" i="4"/>
  <c r="AM43" i="4"/>
  <c r="AM55" i="4"/>
  <c r="AM63" i="4"/>
  <c r="C18" i="1"/>
  <c r="G18" i="1"/>
  <c r="H8" i="1"/>
  <c r="H16" i="1"/>
  <c r="AM6" i="3"/>
  <c r="AM16" i="3"/>
  <c r="AM6" i="4"/>
  <c r="AM16" i="4"/>
  <c r="AM6" i="5"/>
  <c r="AM16" i="5"/>
  <c r="AM6" i="6"/>
  <c r="AM16" i="6"/>
  <c r="AM6" i="7"/>
  <c r="AM11" i="7"/>
  <c r="AM15" i="7"/>
  <c r="AM16" i="7"/>
  <c r="AM48" i="7"/>
  <c r="AM51" i="7"/>
  <c r="AM53" i="7"/>
  <c r="AM56" i="7"/>
  <c r="AM62" i="7"/>
  <c r="AM5" i="8"/>
  <c r="AM7" i="8"/>
  <c r="AM10" i="8"/>
  <c r="AM11" i="8"/>
  <c r="AM13" i="8"/>
  <c r="AM21" i="8"/>
  <c r="AM29" i="8"/>
  <c r="AM37" i="8"/>
  <c r="AM45" i="8"/>
  <c r="AM53" i="8"/>
  <c r="AM61" i="8"/>
  <c r="AM16" i="9"/>
  <c r="AM21" i="9"/>
  <c r="AM23" i="9"/>
  <c r="AM34" i="9"/>
  <c r="AM36" i="9"/>
  <c r="AM46" i="9"/>
  <c r="AM48" i="9"/>
  <c r="AM53" i="9"/>
  <c r="AM55" i="9"/>
  <c r="AM35" i="10"/>
  <c r="AM59" i="10"/>
  <c r="AM61" i="10"/>
  <c r="AM64" i="10"/>
  <c r="AM49" i="11"/>
  <c r="AM26" i="12"/>
  <c r="AM29" i="12"/>
  <c r="AM22" i="13"/>
  <c r="AM14" i="8"/>
  <c r="AM9" i="9"/>
  <c r="X16" i="9" s="1"/>
  <c r="AM13" i="9"/>
  <c r="W17" i="9" s="1"/>
  <c r="AM14" i="9"/>
  <c r="AM17" i="9"/>
  <c r="AM12" i="10"/>
  <c r="X16" i="10" s="1"/>
  <c r="AM14" i="10"/>
  <c r="AM19" i="10"/>
  <c r="AM21" i="10"/>
  <c r="AM24" i="10"/>
  <c r="AM26" i="10"/>
  <c r="AM38" i="10"/>
  <c r="AM44" i="10"/>
  <c r="AM47" i="10"/>
  <c r="AM49" i="10"/>
  <c r="AM51" i="10"/>
  <c r="AM53" i="10"/>
  <c r="AM56" i="10"/>
  <c r="AM15" i="11"/>
  <c r="AM18" i="11"/>
  <c r="AM24" i="11"/>
  <c r="AM27" i="11"/>
  <c r="AM29" i="11"/>
  <c r="AM33" i="11"/>
  <c r="AM52" i="11"/>
  <c r="AM15" i="12"/>
  <c r="AM23" i="12"/>
  <c r="AM27" i="12"/>
  <c r="AM33" i="12"/>
  <c r="AM41" i="12"/>
  <c r="AM52" i="12"/>
  <c r="AM11" i="13"/>
  <c r="AM12" i="13"/>
  <c r="AM31" i="13"/>
  <c r="AM34" i="13"/>
  <c r="AM36" i="13"/>
  <c r="AM47" i="13"/>
  <c r="AM50" i="13"/>
  <c r="AM62" i="13"/>
  <c r="C16" i="8"/>
  <c r="AM11" i="9"/>
  <c r="AM18" i="10"/>
  <c r="AM30" i="10"/>
  <c r="AM36" i="10"/>
  <c r="AM39" i="10"/>
  <c r="AM41" i="10"/>
  <c r="AM43" i="10"/>
  <c r="AM45" i="10"/>
  <c r="AM48" i="10"/>
  <c r="AM50" i="10"/>
  <c r="AM62" i="10"/>
  <c r="AM64" i="11"/>
  <c r="AM6" i="11"/>
  <c r="W15" i="11" s="1"/>
  <c r="AM11" i="11"/>
  <c r="AM17" i="11"/>
  <c r="AM19" i="11"/>
  <c r="X16" i="11" s="1"/>
  <c r="AM21" i="11"/>
  <c r="AM25" i="11"/>
  <c r="AM42" i="11"/>
  <c r="AM44" i="11"/>
  <c r="AM50" i="11"/>
  <c r="AM62" i="11"/>
  <c r="AM50" i="12"/>
  <c r="AM8" i="12"/>
  <c r="AM10" i="12"/>
  <c r="AM11" i="12"/>
  <c r="AM17" i="12"/>
  <c r="AM44" i="12"/>
  <c r="AM46" i="12"/>
  <c r="AM10" i="13"/>
  <c r="AM26" i="13"/>
  <c r="AM32" i="13"/>
  <c r="H6" i="1"/>
  <c r="AM15" i="9"/>
  <c r="X15" i="9" s="1"/>
  <c r="AM19" i="9"/>
  <c r="AM25" i="9"/>
  <c r="AM27" i="9"/>
  <c r="AM33" i="9"/>
  <c r="AM35" i="9"/>
  <c r="AM41" i="9"/>
  <c r="AM43" i="9"/>
  <c r="AM49" i="9"/>
  <c r="AM51" i="9"/>
  <c r="AM57" i="9"/>
  <c r="AM59" i="9"/>
  <c r="AM65" i="9"/>
  <c r="AM5" i="10"/>
  <c r="W15" i="10" s="1"/>
  <c r="D16" i="10"/>
  <c r="AM16" i="10"/>
  <c r="AM17" i="10"/>
  <c r="AM22" i="10"/>
  <c r="AM28" i="10"/>
  <c r="AM31" i="10"/>
  <c r="AM33" i="10"/>
  <c r="AM37" i="10"/>
  <c r="AM54" i="10"/>
  <c r="AM60" i="10"/>
  <c r="AM63" i="10"/>
  <c r="AM65" i="10"/>
  <c r="AM7" i="11"/>
  <c r="AM34" i="11"/>
  <c r="AM40" i="11"/>
  <c r="AM47" i="11"/>
  <c r="AM51" i="11"/>
  <c r="AM57" i="11"/>
  <c r="AM65" i="11"/>
  <c r="AM12" i="12"/>
  <c r="AM28" i="12"/>
  <c r="AM56" i="12"/>
  <c r="AM58" i="12"/>
  <c r="AM60" i="12"/>
  <c r="AM64" i="12"/>
  <c r="AM3" i="13"/>
  <c r="AM17" i="13"/>
  <c r="AM4" i="13"/>
  <c r="AM18" i="13"/>
  <c r="AM45" i="11"/>
  <c r="AM63" i="11"/>
  <c r="AM6" i="12"/>
  <c r="AM21" i="12"/>
  <c r="AM40" i="12"/>
  <c r="AM42" i="12"/>
  <c r="AM49" i="12"/>
  <c r="AM53" i="12"/>
  <c r="AM24" i="13"/>
  <c r="AM27" i="13"/>
  <c r="AM29" i="13"/>
  <c r="AM42" i="13"/>
  <c r="AM48" i="13"/>
  <c r="AM63" i="13"/>
  <c r="AM13" i="11"/>
  <c r="AM43" i="11"/>
  <c r="AM55" i="11"/>
  <c r="AM60" i="11"/>
  <c r="D16" i="12"/>
  <c r="C16" i="12"/>
  <c r="AM19" i="12"/>
  <c r="AM31" i="12"/>
  <c r="AM36" i="12"/>
  <c r="AM38" i="12"/>
  <c r="AM48" i="12"/>
  <c r="AM51" i="12"/>
  <c r="AM7" i="13"/>
  <c r="AM20" i="13"/>
  <c r="AM30" i="13"/>
  <c r="AM33" i="13"/>
  <c r="AM40" i="13"/>
  <c r="AM43" i="13"/>
  <c r="AM45" i="13"/>
  <c r="AM58" i="13"/>
  <c r="AM64" i="13"/>
  <c r="AM8" i="14"/>
  <c r="AM43" i="14"/>
  <c r="AM35" i="14"/>
  <c r="AM27" i="14"/>
  <c r="AM19" i="14"/>
  <c r="AM11" i="14"/>
  <c r="AM10" i="14"/>
  <c r="AM39" i="12"/>
  <c r="AM47" i="12"/>
  <c r="AM55" i="12"/>
  <c r="AM63" i="12"/>
  <c r="AM8" i="13"/>
  <c r="AM19" i="13"/>
  <c r="AM21" i="13"/>
  <c r="AM28" i="13"/>
  <c r="AM35" i="13"/>
  <c r="AM37" i="13"/>
  <c r="AM44" i="13"/>
  <c r="AM51" i="13"/>
  <c r="AM53" i="13"/>
  <c r="AM60" i="13"/>
  <c r="AM16" i="14"/>
  <c r="AM21" i="14"/>
  <c r="AM24" i="14"/>
  <c r="AM29" i="14"/>
  <c r="AM32" i="14"/>
  <c r="AM40" i="14"/>
  <c r="AM45" i="14"/>
  <c r="AM6" i="14"/>
  <c r="AM12" i="14"/>
  <c r="AM13" i="14"/>
  <c r="AM14" i="14"/>
  <c r="AM15" i="14"/>
  <c r="AM17" i="14"/>
  <c r="AM5" i="14"/>
  <c r="W12" i="14" s="1"/>
  <c r="AM9" i="14"/>
  <c r="AM20" i="14"/>
  <c r="AM23" i="14"/>
  <c r="AM25" i="14"/>
  <c r="AM28" i="14"/>
  <c r="AM31" i="14"/>
  <c r="AM36" i="14"/>
  <c r="AM39" i="14"/>
  <c r="AM56" i="14"/>
  <c r="AM61" i="14"/>
  <c r="AM6" i="13"/>
  <c r="AM13" i="13"/>
  <c r="AM23" i="13"/>
  <c r="AM25" i="13"/>
  <c r="AM39" i="13"/>
  <c r="AM41" i="13"/>
  <c r="AM55" i="13"/>
  <c r="AM57" i="13"/>
  <c r="AM63" i="14"/>
  <c r="AM55" i="14"/>
  <c r="AM47" i="14"/>
  <c r="AM42" i="14"/>
  <c r="AM38" i="14"/>
  <c r="AM34" i="14"/>
  <c r="AM30" i="14"/>
  <c r="AM26" i="14"/>
  <c r="AM22" i="14"/>
  <c r="AM18" i="14"/>
  <c r="D16" i="14"/>
  <c r="AM48" i="14"/>
  <c r="AM51" i="14"/>
  <c r="AM53" i="14"/>
  <c r="AM65" i="13"/>
  <c r="AM50" i="14"/>
  <c r="AM58" i="14"/>
  <c r="AM64" i="14"/>
  <c r="AM33" i="14"/>
  <c r="W16" i="14" s="1"/>
  <c r="AM37" i="14"/>
  <c r="AM41" i="14"/>
  <c r="AM46" i="14"/>
  <c r="AM54" i="14"/>
  <c r="AM62" i="14"/>
  <c r="AM7" i="14"/>
  <c r="AM44" i="14"/>
  <c r="AM49" i="14"/>
  <c r="AM52" i="14"/>
  <c r="AM57" i="14"/>
  <c r="AM60" i="14"/>
  <c r="AM65" i="14"/>
  <c r="X11" i="9" l="1"/>
  <c r="W12" i="9"/>
  <c r="X12" i="9"/>
  <c r="W18" i="11"/>
  <c r="X9" i="11"/>
  <c r="X13" i="10"/>
  <c r="X8" i="14"/>
  <c r="X17" i="14"/>
  <c r="W13" i="9"/>
  <c r="W16" i="11"/>
  <c r="W9" i="11"/>
  <c r="X10" i="10"/>
  <c r="W9" i="10"/>
  <c r="W12" i="10"/>
  <c r="X18" i="6"/>
  <c r="X14" i="6"/>
  <c r="W13" i="6"/>
  <c r="X10" i="6"/>
  <c r="W18" i="6"/>
  <c r="X17" i="6"/>
  <c r="X15" i="6"/>
  <c r="W14" i="6"/>
  <c r="X11" i="6"/>
  <c r="W10" i="6"/>
  <c r="X9" i="6"/>
  <c r="X12" i="6"/>
  <c r="X8" i="6"/>
  <c r="W12" i="6"/>
  <c r="W9" i="6"/>
  <c r="W8" i="6"/>
  <c r="X16" i="6"/>
  <c r="W15" i="6"/>
  <c r="W11" i="6"/>
  <c r="W16" i="6"/>
  <c r="X13" i="6"/>
  <c r="W17" i="6"/>
  <c r="W8" i="14"/>
  <c r="W9" i="14"/>
  <c r="X16" i="14"/>
  <c r="X11" i="14"/>
  <c r="W18" i="14"/>
  <c r="X13" i="9"/>
  <c r="W14" i="9"/>
  <c r="X8" i="9"/>
  <c r="W15" i="9"/>
  <c r="X11" i="11"/>
  <c r="W10" i="11"/>
  <c r="X17" i="11"/>
  <c r="X10" i="11"/>
  <c r="W11" i="11"/>
  <c r="W17" i="11"/>
  <c r="W14" i="10"/>
  <c r="X11" i="10"/>
  <c r="X15" i="10"/>
  <c r="W11" i="10"/>
  <c r="W17" i="10"/>
  <c r="X15" i="11"/>
  <c r="W16" i="12"/>
  <c r="X12" i="12"/>
  <c r="W18" i="12"/>
  <c r="W11" i="12"/>
  <c r="X14" i="12"/>
  <c r="X18" i="3"/>
  <c r="X14" i="3"/>
  <c r="W13" i="3"/>
  <c r="X10" i="3"/>
  <c r="W18" i="3"/>
  <c r="X15" i="3"/>
  <c r="X11" i="3"/>
  <c r="X9" i="3"/>
  <c r="X17" i="3"/>
  <c r="W14" i="3"/>
  <c r="W10" i="3"/>
  <c r="X12" i="3"/>
  <c r="X8" i="3"/>
  <c r="W9" i="3"/>
  <c r="W12" i="3"/>
  <c r="W8" i="3"/>
  <c r="X16" i="3"/>
  <c r="W15" i="3"/>
  <c r="W11" i="3"/>
  <c r="W16" i="3"/>
  <c r="X13" i="3"/>
  <c r="W17" i="3"/>
  <c r="X18" i="7"/>
  <c r="X14" i="7"/>
  <c r="W13" i="7"/>
  <c r="X10" i="7"/>
  <c r="W18" i="7"/>
  <c r="X17" i="7"/>
  <c r="X15" i="7"/>
  <c r="W14" i="7"/>
  <c r="X11" i="7"/>
  <c r="W10" i="7"/>
  <c r="X9" i="7"/>
  <c r="X12" i="7"/>
  <c r="X8" i="7"/>
  <c r="W12" i="7"/>
  <c r="W9" i="7"/>
  <c r="W8" i="7"/>
  <c r="X16" i="7"/>
  <c r="W15" i="7"/>
  <c r="W11" i="7"/>
  <c r="W17" i="7"/>
  <c r="X13" i="7"/>
  <c r="W16" i="7"/>
  <c r="W10" i="14"/>
  <c r="X9" i="10"/>
  <c r="X14" i="9"/>
  <c r="X10" i="14"/>
  <c r="X18" i="14"/>
  <c r="X13" i="14"/>
  <c r="W11" i="14"/>
  <c r="W17" i="14"/>
  <c r="W14" i="14"/>
  <c r="X14" i="14"/>
  <c r="X10" i="9"/>
  <c r="W8" i="9"/>
  <c r="W16" i="9"/>
  <c r="W9" i="9"/>
  <c r="W13" i="11"/>
  <c r="W12" i="11"/>
  <c r="X18" i="11"/>
  <c r="X14" i="11"/>
  <c r="X12" i="11"/>
  <c r="W10" i="10"/>
  <c r="W16" i="10"/>
  <c r="X14" i="10"/>
  <c r="W18" i="10"/>
  <c r="X12" i="10"/>
  <c r="W8" i="12"/>
  <c r="X11" i="12"/>
  <c r="X8" i="12"/>
  <c r="X15" i="12"/>
  <c r="X9" i="12"/>
  <c r="W15" i="12"/>
  <c r="X18" i="12"/>
  <c r="X18" i="4"/>
  <c r="X14" i="4"/>
  <c r="W13" i="4"/>
  <c r="X10" i="4"/>
  <c r="X9" i="4"/>
  <c r="W18" i="4"/>
  <c r="X17" i="4"/>
  <c r="X15" i="4"/>
  <c r="W14" i="4"/>
  <c r="X11" i="4"/>
  <c r="W10" i="4"/>
  <c r="X12" i="4"/>
  <c r="X8" i="4"/>
  <c r="W12" i="4"/>
  <c r="W9" i="4"/>
  <c r="W8" i="4"/>
  <c r="X16" i="4"/>
  <c r="W15" i="4"/>
  <c r="W11" i="4"/>
  <c r="W16" i="4"/>
  <c r="X13" i="4"/>
  <c r="W17" i="4"/>
  <c r="X18" i="5"/>
  <c r="X14" i="5"/>
  <c r="W13" i="5"/>
  <c r="X10" i="5"/>
  <c r="W18" i="5"/>
  <c r="X17" i="5"/>
  <c r="X15" i="5"/>
  <c r="W14" i="5"/>
  <c r="X11" i="5"/>
  <c r="W10" i="5"/>
  <c r="X9" i="5"/>
  <c r="X12" i="5"/>
  <c r="X8" i="5"/>
  <c r="W9" i="5"/>
  <c r="W12" i="5"/>
  <c r="W8" i="5"/>
  <c r="X16" i="5"/>
  <c r="W15" i="5"/>
  <c r="W11" i="5"/>
  <c r="X13" i="5"/>
  <c r="W16" i="5"/>
  <c r="W17" i="5"/>
  <c r="W8" i="10"/>
  <c r="W15" i="14"/>
  <c r="W18" i="13"/>
  <c r="X17" i="13"/>
  <c r="X15" i="13"/>
  <c r="W14" i="13"/>
  <c r="X11" i="13"/>
  <c r="W10" i="13"/>
  <c r="X9" i="13"/>
  <c r="W17" i="13"/>
  <c r="X16" i="13"/>
  <c r="W15" i="13"/>
  <c r="X12" i="13"/>
  <c r="W11" i="13"/>
  <c r="W9" i="13"/>
  <c r="X8" i="13"/>
  <c r="W16" i="13"/>
  <c r="X14" i="13"/>
  <c r="X10" i="13"/>
  <c r="W12" i="13"/>
  <c r="W13" i="13"/>
  <c r="X13" i="13"/>
  <c r="X18" i="13"/>
  <c r="W8" i="13"/>
  <c r="X18" i="9"/>
  <c r="W14" i="12"/>
  <c r="W10" i="12"/>
  <c r="W17" i="12"/>
  <c r="X17" i="12"/>
  <c r="W13" i="14"/>
  <c r="X12" i="14"/>
  <c r="X9" i="14"/>
  <c r="X15" i="14"/>
  <c r="W18" i="9"/>
  <c r="W10" i="9"/>
  <c r="X17" i="9"/>
  <c r="W11" i="9"/>
  <c r="X13" i="11"/>
  <c r="W14" i="11"/>
  <c r="W8" i="11"/>
  <c r="X8" i="11"/>
  <c r="X18" i="10"/>
  <c r="X17" i="10"/>
  <c r="W13" i="10"/>
  <c r="X8" i="10"/>
  <c r="W12" i="12"/>
  <c r="W9" i="12"/>
  <c r="X16" i="12"/>
  <c r="X13" i="12"/>
  <c r="W17" i="8"/>
  <c r="X16" i="8"/>
  <c r="W15" i="8"/>
  <c r="W13" i="8"/>
  <c r="X10" i="8"/>
  <c r="W18" i="8"/>
  <c r="X14" i="8"/>
  <c r="X12" i="8"/>
  <c r="X9" i="8"/>
  <c r="W14" i="8"/>
  <c r="W12" i="8"/>
  <c r="W10" i="8"/>
  <c r="W9" i="8"/>
  <c r="X8" i="8"/>
  <c r="W8" i="8"/>
  <c r="X13" i="8"/>
  <c r="X11" i="8"/>
  <c r="X17" i="8"/>
  <c r="X15" i="8"/>
  <c r="W11" i="8"/>
  <c r="X18" i="8"/>
  <c r="W16" i="8"/>
</calcChain>
</file>

<file path=xl/sharedStrings.xml><?xml version="1.0" encoding="utf-8"?>
<sst xmlns="http://schemas.openxmlformats.org/spreadsheetml/2006/main" count="1483" uniqueCount="187">
  <si>
    <t>ANNUAL INCOME</t>
  </si>
  <si>
    <t>ANNUAL BILLS</t>
  </si>
  <si>
    <t>ANNUAL EXPENSES</t>
  </si>
  <si>
    <t>ANNUAL DEBTS</t>
  </si>
  <si>
    <t>ANNUAL SAVINGS</t>
  </si>
  <si>
    <t>Month</t>
  </si>
  <si>
    <t>Income</t>
  </si>
  <si>
    <t>Bills</t>
  </si>
  <si>
    <t>Expenses</t>
  </si>
  <si>
    <t>Debts</t>
  </si>
  <si>
    <t>Savings</t>
  </si>
  <si>
    <t>Total Expenditure</t>
  </si>
  <si>
    <t>January</t>
  </si>
  <si>
    <t>Feburary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</si>
  <si>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</si>
  <si>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</si>
  <si>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</si>
  <si>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</si>
  <si>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</si>
  <si>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</si>
  <si>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</si>
  <si>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</si>
  <si>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</si>
  <si>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</si>
  <si>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</si>
  <si>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Bills List</t>
  </si>
  <si>
    <t>Expenses List</t>
  </si>
  <si>
    <t>Debt List</t>
  </si>
  <si>
    <t>Savings List</t>
  </si>
  <si>
    <t>Salary</t>
  </si>
  <si>
    <t>Rent</t>
  </si>
  <si>
    <t>Food</t>
  </si>
  <si>
    <t>Mobile Money Loan</t>
  </si>
  <si>
    <t>Fixed Deposit</t>
  </si>
  <si>
    <t>Bonus</t>
  </si>
  <si>
    <t>Mortgage</t>
  </si>
  <si>
    <t>Groceries</t>
  </si>
  <si>
    <t xml:space="preserve">Airtel </t>
  </si>
  <si>
    <t>Home Setup Fund</t>
  </si>
  <si>
    <t>Overtime</t>
  </si>
  <si>
    <t>Electricity</t>
  </si>
  <si>
    <t>Transport</t>
  </si>
  <si>
    <t>Medical Loan</t>
  </si>
  <si>
    <t>Vehicle Purchase Fund</t>
  </si>
  <si>
    <t>Commission</t>
  </si>
  <si>
    <t>Water</t>
  </si>
  <si>
    <t>Fuel</t>
  </si>
  <si>
    <t>SACCO Loan</t>
  </si>
  <si>
    <t>Digital Wallet Savings</t>
  </si>
  <si>
    <t>Freelance Income</t>
  </si>
  <si>
    <t>Internet</t>
  </si>
  <si>
    <t>Transport Fare</t>
  </si>
  <si>
    <t>Bank Loan</t>
  </si>
  <si>
    <t>Airtel Money Savings</t>
  </si>
  <si>
    <t>Business Profits</t>
  </si>
  <si>
    <t>Airtime/Data</t>
  </si>
  <si>
    <t>Clothing</t>
  </si>
  <si>
    <t>Personal Loan</t>
  </si>
  <si>
    <t>MTN MoMo Savings</t>
  </si>
  <si>
    <t>Side Hustle Income</t>
  </si>
  <si>
    <t>Garbage Collection</t>
  </si>
  <si>
    <t>Household Items</t>
  </si>
  <si>
    <t>Business Loan</t>
  </si>
  <si>
    <t>Emergency Fund</t>
  </si>
  <si>
    <t>Agricultural Sales</t>
  </si>
  <si>
    <t>Pay TV</t>
  </si>
  <si>
    <t>Data Bundles</t>
  </si>
  <si>
    <t>Credit Card</t>
  </si>
  <si>
    <t>Land Purchase Fund</t>
  </si>
  <si>
    <t>Produce Sales</t>
  </si>
  <si>
    <t>School Fees</t>
  </si>
  <si>
    <t>Mobile Airtime</t>
  </si>
  <si>
    <t>Salary Advance</t>
  </si>
  <si>
    <t>Business Startup Fund</t>
  </si>
  <si>
    <t>Rental Income</t>
  </si>
  <si>
    <t>Tuition</t>
  </si>
  <si>
    <t>Entertainment</t>
  </si>
  <si>
    <t>Borrowed from Friends</t>
  </si>
  <si>
    <t>Child Education Fund</t>
  </si>
  <si>
    <t>Land Lease Income</t>
  </si>
  <si>
    <t>Mobile Money Fees</t>
  </si>
  <si>
    <t>Movies</t>
  </si>
  <si>
    <t>Borrowed from Family</t>
  </si>
  <si>
    <t>Holiday Fund</t>
  </si>
  <si>
    <t>Dividends</t>
  </si>
  <si>
    <t>Security Services</t>
  </si>
  <si>
    <t>Outings</t>
  </si>
  <si>
    <t>Hire Purchase</t>
  </si>
  <si>
    <t>Tech Upgrade Fund</t>
  </si>
  <si>
    <t>Interest Income</t>
  </si>
  <si>
    <t>Tithe &amp; Church Contributions</t>
  </si>
  <si>
    <t>Takeaways</t>
  </si>
  <si>
    <t>Overdraft Fees</t>
  </si>
  <si>
    <t>Furniture Fund</t>
  </si>
  <si>
    <t>SACCO Payouts</t>
  </si>
  <si>
    <t>Insurance Premiums</t>
  </si>
  <si>
    <t>Gifts</t>
  </si>
  <si>
    <t>Penalties</t>
  </si>
  <si>
    <t>Debt Clearance Fund</t>
  </si>
  <si>
    <t>Mobile Money Transfers</t>
  </si>
  <si>
    <t>Health Insurance</t>
  </si>
  <si>
    <t>Donations</t>
  </si>
  <si>
    <t>Late Fees</t>
  </si>
  <si>
    <t>Travel Savings</t>
  </si>
  <si>
    <t>Cash Gifts</t>
  </si>
  <si>
    <t>Life Insurance</t>
  </si>
  <si>
    <t>Medical Expenses</t>
  </si>
  <si>
    <t>Outstanding Bills</t>
  </si>
  <si>
    <t>Education Savings</t>
  </si>
  <si>
    <t>Family Support</t>
  </si>
  <si>
    <t>Property Insurance</t>
  </si>
  <si>
    <t>Personal Care</t>
  </si>
  <si>
    <t>Tuition Loan</t>
  </si>
  <si>
    <t>Investment Fund</t>
  </si>
  <si>
    <t>Scholarships</t>
  </si>
  <si>
    <t>SACCO Dues</t>
  </si>
  <si>
    <t>Childcare</t>
  </si>
  <si>
    <t>Land Loan</t>
  </si>
  <si>
    <t>Retirement Savings</t>
  </si>
  <si>
    <t>Grants</t>
  </si>
  <si>
    <t>Loan Servicing Fees</t>
  </si>
  <si>
    <t>Baby Supplies</t>
  </si>
  <si>
    <t>Car Loan</t>
  </si>
  <si>
    <t>Wedding Fund</t>
  </si>
  <si>
    <t>Refunds</t>
  </si>
  <si>
    <t>Land Lease</t>
  </si>
  <si>
    <t>Repairs</t>
  </si>
  <si>
    <t>Others</t>
  </si>
  <si>
    <t>Charity Fund</t>
  </si>
  <si>
    <t>Online Sales</t>
  </si>
  <si>
    <t>Service Subscriptions</t>
  </si>
  <si>
    <t>Home Repairs</t>
  </si>
  <si>
    <t>Health Savings</t>
  </si>
  <si>
    <t>Digital Products</t>
  </si>
  <si>
    <t>Parking Fees</t>
  </si>
  <si>
    <t>Electronics Repairs</t>
  </si>
  <si>
    <t>SACCO Savings</t>
  </si>
  <si>
    <t>YouTube Earnings</t>
  </si>
  <si>
    <t xml:space="preserve">Others </t>
  </si>
  <si>
    <t>Farming Inputs</t>
  </si>
  <si>
    <t>Insurance Reserve</t>
  </si>
  <si>
    <t>Tutoring Fees</t>
  </si>
  <si>
    <t>Pet Care</t>
  </si>
  <si>
    <t>Workshop Facilitation</t>
  </si>
  <si>
    <t>Subscriptions</t>
  </si>
  <si>
    <t>Event Hosting</t>
  </si>
  <si>
    <t>Books</t>
  </si>
  <si>
    <t>Transport Refunds</t>
  </si>
  <si>
    <t>Stationery</t>
  </si>
  <si>
    <t>Per Diem</t>
  </si>
  <si>
    <t>Allowance</t>
  </si>
  <si>
    <t>Pension</t>
  </si>
  <si>
    <t>Event Tickets</t>
  </si>
  <si>
    <t>Social Security</t>
  </si>
  <si>
    <t>Investment Returns</t>
  </si>
  <si>
    <t>Loan Disbursement</t>
  </si>
  <si>
    <t>JANUARY</t>
  </si>
  <si>
    <t>INCOME</t>
  </si>
  <si>
    <t>BILLS</t>
  </si>
  <si>
    <t>EXPENSES</t>
  </si>
  <si>
    <t>DEBT</t>
  </si>
  <si>
    <t>SAVINGS</t>
  </si>
  <si>
    <t>Ranking</t>
  </si>
  <si>
    <t>ITEM</t>
  </si>
  <si>
    <t>CATEGORY</t>
  </si>
  <si>
    <t>TOTAL SPENT</t>
  </si>
  <si>
    <t>SUMMARY</t>
  </si>
  <si>
    <t>INCOME OVERVIEW</t>
  </si>
  <si>
    <t>RANK</t>
  </si>
  <si>
    <t>AMOUNT</t>
  </si>
  <si>
    <t>Planned</t>
  </si>
  <si>
    <t>Actual</t>
  </si>
  <si>
    <t>BALANCE</t>
  </si>
  <si>
    <t>Details</t>
  </si>
  <si>
    <t>Variance</t>
  </si>
  <si>
    <t>DEBTS</t>
  </si>
  <si>
    <t>FEBURARY</t>
  </si>
  <si>
    <t>APRIL</t>
  </si>
  <si>
    <t>MAY</t>
  </si>
  <si>
    <t>JUNE</t>
  </si>
  <si>
    <t>JULY</t>
  </si>
  <si>
    <t>MARCH</t>
  </si>
  <si>
    <t>AUGUST</t>
  </si>
  <si>
    <t>SEPTEMBER</t>
  </si>
  <si>
    <t>OCTOBER</t>
  </si>
  <si>
    <t>NOVEMBER</t>
  </si>
  <si>
    <t>DECEMBER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</si>
</sst>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USh&quot;#,##0"/>
  </numFmts>
  <fonts count="11"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Amasis MT Pro Black"/>
    </font>
    <font>
      <sz val="11"/>
      <name val="Calibri"/>
    </font>
    <font>
      <sz val="18"/>
      <color theme="1"/>
      <name val="Calibri"/>
    </font>
    <font>
      <b/>
      <sz val="11"/>
      <color theme="0"/>
      <name val="Calibri"/>
    </font>
    <font>
      <b/>
      <sz val="11"/>
      <color theme="1"/>
      <name val="Calibri"/>
    </font>
    <font>
      <sz val="11"/>
      <color theme="1"/>
      <name val="Calibri"/>
      <scheme val="minor"/>
    </font>
    <font>
      <sz val="28"/>
      <color theme="1"/>
      <name val="Baumans"/>
    </font>
    <font>
      <sz val="16"/>
      <color theme="1"/>
      <name val="Ebrima"/>
    </font>
    <font>
      <b/>
      <sz val="11"/>
      <color rgb="FF2E75B5"/>
      <name val="Amasis MT Pro Black"/>
    </font>
  </fonts>
  <fills count="9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theme="4"/>
        <bgColor theme="4"/>
      </patternFill>
    </fill>
    <fill>
      <patternFill patternType="solid">
        <fgColor rgb="FFDEEAF6"/>
        <bgColor rgb="FFDEEAF6"/>
      </patternFill>
    </fill>
    <fill>
      <patternFill patternType="solid">
        <fgColor rgb="FFF4B083"/>
        <bgColor rgb="FFF4B083"/>
      </patternFill>
    </fill>
    <fill>
      <patternFill patternType="solid">
        <fgColor rgb="FFA8D08D"/>
        <bgColor rgb="FFA8D08D"/>
      </patternFill>
    </fill>
    <fill>
      <patternFill patternType="solid">
        <fgColor theme="0"/>
        <bgColor theme="0"/>
      </patternFill>
    </fill>
    <fill>
      <patternFill patternType="solid">
        <fgColor rgb="FFE2EFD9"/>
        <bgColor rgb="FFE2EFD9"/>
      </patternFill>
    </fill>
  </fills>
  <borders count="2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9CC2E5"/>
      </left>
      <right/>
      <top style="thin">
        <color rgb="FF9CC2E5"/>
      </top>
      <bottom/>
      <diagonal/>
    </border>
    <border>
      <left/>
      <right/>
      <top style="thin">
        <color rgb="FF9CC2E5"/>
      </top>
      <bottom/>
      <diagonal/>
    </border>
    <border>
      <left/>
      <right style="thin">
        <color rgb="FF9CC2E5"/>
      </right>
      <top style="thin">
        <color rgb="FF9CC2E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5" fillId="3" borderId="5" xfId="0" applyFont="1" applyFill="1" applyBorder="1"/>
    <xf numFmtId="0" fontId="5" fillId="3" borderId="6" xfId="0" applyFont="1" applyFill="1" applyBorder="1"/>
    <xf numFmtId="0" fontId="5" fillId="3" borderId="7" xfId="0" applyFont="1" applyFill="1" applyBorder="1"/>
    <xf numFmtId="0" fontId="1" fillId="4" borderId="8" xfId="0" applyFont="1" applyFill="1" applyBorder="1"/>
    <xf numFmtId="164" fontId="1" fillId="4" borderId="8" xfId="0" applyNumberFormat="1" applyFont="1" applyFill="1" applyBorder="1"/>
    <xf numFmtId="164" fontId="6" fillId="4" borderId="8" xfId="0" applyNumberFormat="1" applyFont="1" applyFill="1" applyBorder="1"/>
    <xf numFmtId="0" fontId="6" fillId="4" borderId="8" xfId="0" applyFont="1" applyFill="1" applyBorder="1"/>
    <xf numFmtId="0" fontId="6" fillId="0" borderId="0" xfId="0" applyFont="1"/>
    <xf numFmtId="0" fontId="7" fillId="0" borderId="0" xfId="0" applyFont="1"/>
    <xf numFmtId="0" fontId="1" fillId="6" borderId="8" xfId="0" applyFont="1" applyFill="1" applyBorder="1"/>
    <xf numFmtId="0" fontId="1" fillId="0" borderId="8" xfId="0" applyFont="1" applyBorder="1"/>
    <xf numFmtId="0" fontId="10" fillId="7" borderId="8" xfId="0" applyFont="1" applyFill="1" applyBorder="1"/>
    <xf numFmtId="0" fontId="2" fillId="7" borderId="8" xfId="0" applyFont="1" applyFill="1" applyBorder="1" applyAlignment="1">
      <alignment horizontal="center" vertical="center"/>
    </xf>
    <xf numFmtId="0" fontId="1" fillId="0" borderId="10" xfId="0" applyFont="1" applyBorder="1"/>
    <xf numFmtId="164" fontId="1" fillId="0" borderId="0" xfId="0" applyNumberFormat="1" applyFont="1"/>
    <xf numFmtId="164" fontId="1" fillId="0" borderId="11" xfId="0" applyNumberFormat="1" applyFont="1" applyBorder="1"/>
    <xf numFmtId="0" fontId="1" fillId="0" borderId="3" xfId="0" applyFont="1" applyBorder="1"/>
    <xf numFmtId="164" fontId="1" fillId="0" borderId="12" xfId="0" applyNumberFormat="1" applyFont="1" applyBorder="1"/>
    <xf numFmtId="164" fontId="1" fillId="0" borderId="4" xfId="0" applyNumberFormat="1" applyFont="1" applyBorder="1"/>
    <xf numFmtId="0" fontId="6" fillId="0" borderId="8" xfId="0" applyFont="1" applyBorder="1"/>
    <xf numFmtId="164" fontId="1" fillId="0" borderId="8" xfId="0" applyNumberFormat="1" applyFont="1" applyBorder="1"/>
    <xf numFmtId="0" fontId="1" fillId="0" borderId="11" xfId="0" applyFont="1" applyBorder="1"/>
    <xf numFmtId="0" fontId="2" fillId="2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164" fontId="4" fillId="0" borderId="1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0" borderId="9" xfId="0" applyFont="1" applyBorder="1"/>
    <xf numFmtId="0" fontId="3" fillId="0" borderId="12" xfId="0" applyFont="1" applyBorder="1"/>
    <xf numFmtId="164" fontId="4" fillId="0" borderId="1" xfId="0" applyNumberFormat="1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9" fillId="2" borderId="16" xfId="0" applyFont="1" applyFill="1" applyBorder="1" applyAlignment="1">
      <alignment horizontal="center" vertical="center"/>
    </xf>
    <xf numFmtId="0" fontId="3" fillId="0" borderId="17" xfId="0" applyFont="1" applyBorder="1"/>
    <xf numFmtId="0" fontId="3" fillId="0" borderId="18" xfId="0" applyFont="1" applyBorder="1"/>
    <xf numFmtId="0" fontId="2" fillId="2" borderId="19" xfId="0" applyFont="1" applyFill="1" applyBorder="1" applyAlignment="1">
      <alignment horizontal="center" vertical="center"/>
    </xf>
    <xf numFmtId="0" fontId="3" fillId="0" borderId="20" xfId="0" applyFont="1" applyBorder="1"/>
    <xf numFmtId="0" fontId="3" fillId="0" borderId="21" xfId="0" applyFont="1" applyBorder="1"/>
    <xf numFmtId="0" fontId="3" fillId="0" borderId="22" xfId="0" applyFont="1" applyBorder="1"/>
    <xf numFmtId="0" fontId="0" fillId="0" borderId="0" xfId="0"/>
    <xf numFmtId="0" fontId="3" fillId="0" borderId="23" xfId="0" applyFont="1" applyBorder="1"/>
    <xf numFmtId="0" fontId="3" fillId="0" borderId="24" xfId="0" applyFont="1" applyBorder="1"/>
    <xf numFmtId="0" fontId="3" fillId="0" borderId="25" xfId="0" applyFont="1" applyBorder="1"/>
    <xf numFmtId="0" fontId="2" fillId="5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10" xfId="0" applyFont="1" applyBorder="1"/>
    <xf numFmtId="0" fontId="3" fillId="0" borderId="11" xfId="0" applyFont="1" applyBorder="1"/>
  </cellXfs>
  <cellStyles count="1">
    <cellStyle name="Normal" xfId="0" builtinId="0"/>
  </cellStyles>
  <dxfs count="180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5"/>
          <bgColor theme="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8"/>
          <bgColor theme="8"/>
        </patternFill>
      </fill>
    </dxf>
  </dxfs>
  <tableStyles count="60">
    <tableStyle name="JAN-style" pivot="0" count="3" xr9:uid="{00000000-0011-0000-FFFF-FFFF00000000}">
      <tableStyleElement type="headerRow" dxfId="179"/>
      <tableStyleElement type="firstRowStripe" dxfId="178"/>
      <tableStyleElement type="secondRowStripe" dxfId="177"/>
    </tableStyle>
    <tableStyle name="JAN-style 2" pivot="0" count="3" xr9:uid="{00000000-0011-0000-FFFF-FFFF01000000}">
      <tableStyleElement type="headerRow" dxfId="176"/>
      <tableStyleElement type="firstRowStripe" dxfId="175"/>
      <tableStyleElement type="secondRowStripe" dxfId="174"/>
    </tableStyle>
    <tableStyle name="JAN-style 3" pivot="0" count="3" xr9:uid="{00000000-0011-0000-FFFF-FFFF02000000}">
      <tableStyleElement type="headerRow" dxfId="173"/>
      <tableStyleElement type="firstRowStripe" dxfId="172"/>
      <tableStyleElement type="secondRowStripe" dxfId="171"/>
    </tableStyle>
    <tableStyle name="JAN-style 4" pivot="0" count="3" xr9:uid="{00000000-0011-0000-FFFF-FFFF03000000}">
      <tableStyleElement type="headerRow" dxfId="170"/>
      <tableStyleElement type="firstRowStripe" dxfId="169"/>
      <tableStyleElement type="secondRowStripe" dxfId="168"/>
    </tableStyle>
    <tableStyle name="JAN-style 5" pivot="0" count="3" xr9:uid="{00000000-0011-0000-FFFF-FFFF04000000}">
      <tableStyleElement type="headerRow" dxfId="167"/>
      <tableStyleElement type="firstRowStripe" dxfId="166"/>
      <tableStyleElement type="secondRowStripe" dxfId="165"/>
    </tableStyle>
    <tableStyle name="FEB-style" pivot="0" count="3" xr9:uid="{00000000-0011-0000-FFFF-FFFF05000000}">
      <tableStyleElement type="headerRow" dxfId="164"/>
      <tableStyleElement type="firstRowStripe" dxfId="163"/>
      <tableStyleElement type="secondRowStripe" dxfId="162"/>
    </tableStyle>
    <tableStyle name="FEB-style 2" pivot="0" count="3" xr9:uid="{00000000-0011-0000-FFFF-FFFF06000000}">
      <tableStyleElement type="headerRow" dxfId="161"/>
      <tableStyleElement type="firstRowStripe" dxfId="160"/>
      <tableStyleElement type="secondRowStripe" dxfId="159"/>
    </tableStyle>
    <tableStyle name="FEB-style 3" pivot="0" count="3" xr9:uid="{00000000-0011-0000-FFFF-FFFF07000000}">
      <tableStyleElement type="headerRow" dxfId="158"/>
      <tableStyleElement type="firstRowStripe" dxfId="157"/>
      <tableStyleElement type="secondRowStripe" dxfId="156"/>
    </tableStyle>
    <tableStyle name="FEB-style 4" pivot="0" count="3" xr9:uid="{00000000-0011-0000-FFFF-FFFF08000000}">
      <tableStyleElement type="headerRow" dxfId="155"/>
      <tableStyleElement type="firstRowStripe" dxfId="154"/>
      <tableStyleElement type="secondRowStripe" dxfId="153"/>
    </tableStyle>
    <tableStyle name="FEB-style 5" pivot="0" count="3" xr9:uid="{00000000-0011-0000-FFFF-FFFF09000000}">
      <tableStyleElement type="headerRow" dxfId="152"/>
      <tableStyleElement type="firstRowStripe" dxfId="151"/>
      <tableStyleElement type="secondRowStripe" dxfId="150"/>
    </tableStyle>
    <tableStyle name="APR-style" pivot="0" count="3" xr9:uid="{00000000-0011-0000-FFFF-FFFF0A000000}">
      <tableStyleElement type="headerRow" dxfId="149"/>
      <tableStyleElement type="firstRowStripe" dxfId="148"/>
      <tableStyleElement type="secondRowStripe" dxfId="147"/>
    </tableStyle>
    <tableStyle name="APR-style 2" pivot="0" count="3" xr9:uid="{00000000-0011-0000-FFFF-FFFF0B000000}">
      <tableStyleElement type="headerRow" dxfId="146"/>
      <tableStyleElement type="firstRowStripe" dxfId="145"/>
      <tableStyleElement type="secondRowStripe" dxfId="144"/>
    </tableStyle>
    <tableStyle name="APR-style 3" pivot="0" count="3" xr9:uid="{00000000-0011-0000-FFFF-FFFF0C000000}">
      <tableStyleElement type="headerRow" dxfId="143"/>
      <tableStyleElement type="firstRowStripe" dxfId="142"/>
      <tableStyleElement type="secondRowStripe" dxfId="141"/>
    </tableStyle>
    <tableStyle name="APR-style 4" pivot="0" count="3" xr9:uid="{00000000-0011-0000-FFFF-FFFF0D000000}">
      <tableStyleElement type="headerRow" dxfId="140"/>
      <tableStyleElement type="firstRowStripe" dxfId="139"/>
      <tableStyleElement type="secondRowStripe" dxfId="138"/>
    </tableStyle>
    <tableStyle name="APR-style 5" pivot="0" count="3" xr9:uid="{00000000-0011-0000-FFFF-FFFF0E000000}">
      <tableStyleElement type="headerRow" dxfId="137"/>
      <tableStyleElement type="firstRowStripe" dxfId="136"/>
      <tableStyleElement type="secondRowStripe" dxfId="135"/>
    </tableStyle>
    <tableStyle name="MAY-style" pivot="0" count="3" xr9:uid="{00000000-0011-0000-FFFF-FFFF0F000000}">
      <tableStyleElement type="headerRow" dxfId="134"/>
      <tableStyleElement type="firstRowStripe" dxfId="133"/>
      <tableStyleElement type="secondRowStripe" dxfId="132"/>
    </tableStyle>
    <tableStyle name="MAY-style 2" pivot="0" count="3" xr9:uid="{00000000-0011-0000-FFFF-FFFF10000000}">
      <tableStyleElement type="headerRow" dxfId="131"/>
      <tableStyleElement type="firstRowStripe" dxfId="130"/>
      <tableStyleElement type="secondRowStripe" dxfId="129"/>
    </tableStyle>
    <tableStyle name="MAY-style 3" pivot="0" count="3" xr9:uid="{00000000-0011-0000-FFFF-FFFF11000000}">
      <tableStyleElement type="headerRow" dxfId="128"/>
      <tableStyleElement type="firstRowStripe" dxfId="127"/>
      <tableStyleElement type="secondRowStripe" dxfId="126"/>
    </tableStyle>
    <tableStyle name="MAY-style 4" pivot="0" count="3" xr9:uid="{00000000-0011-0000-FFFF-FFFF12000000}">
      <tableStyleElement type="headerRow" dxfId="125"/>
      <tableStyleElement type="firstRowStripe" dxfId="124"/>
      <tableStyleElement type="secondRowStripe" dxfId="123"/>
    </tableStyle>
    <tableStyle name="MAY-style 5" pivot="0" count="3" xr9:uid="{00000000-0011-0000-FFFF-FFFF13000000}">
      <tableStyleElement type="headerRow" dxfId="122"/>
      <tableStyleElement type="firstRowStripe" dxfId="121"/>
      <tableStyleElement type="secondRowStripe" dxfId="120"/>
    </tableStyle>
    <tableStyle name="JUN-style" pivot="0" count="3" xr9:uid="{00000000-0011-0000-FFFF-FFFF14000000}">
      <tableStyleElement type="headerRow" dxfId="119"/>
      <tableStyleElement type="firstRowStripe" dxfId="118"/>
      <tableStyleElement type="secondRowStripe" dxfId="117"/>
    </tableStyle>
    <tableStyle name="JUN-style 2" pivot="0" count="3" xr9:uid="{00000000-0011-0000-FFFF-FFFF15000000}">
      <tableStyleElement type="headerRow" dxfId="116"/>
      <tableStyleElement type="firstRowStripe" dxfId="115"/>
      <tableStyleElement type="secondRowStripe" dxfId="114"/>
    </tableStyle>
    <tableStyle name="JUN-style 3" pivot="0" count="3" xr9:uid="{00000000-0011-0000-FFFF-FFFF16000000}">
      <tableStyleElement type="headerRow" dxfId="113"/>
      <tableStyleElement type="firstRowStripe" dxfId="112"/>
      <tableStyleElement type="secondRowStripe" dxfId="111"/>
    </tableStyle>
    <tableStyle name="JUN-style 4" pivot="0" count="3" xr9:uid="{00000000-0011-0000-FFFF-FFFF17000000}">
      <tableStyleElement type="headerRow" dxfId="110"/>
      <tableStyleElement type="firstRowStripe" dxfId="109"/>
      <tableStyleElement type="secondRowStripe" dxfId="108"/>
    </tableStyle>
    <tableStyle name="JUN-style 5" pivot="0" count="3" xr9:uid="{00000000-0011-0000-FFFF-FFFF18000000}">
      <tableStyleElement type="headerRow" dxfId="107"/>
      <tableStyleElement type="firstRowStripe" dxfId="106"/>
      <tableStyleElement type="secondRowStripe" dxfId="105"/>
    </tableStyle>
    <tableStyle name="JUL-style" pivot="0" count="3" xr9:uid="{00000000-0011-0000-FFFF-FFFF19000000}">
      <tableStyleElement type="headerRow" dxfId="104"/>
      <tableStyleElement type="firstRowStripe" dxfId="103"/>
      <tableStyleElement type="secondRowStripe" dxfId="102"/>
    </tableStyle>
    <tableStyle name="JUL-style 2" pivot="0" count="3" xr9:uid="{00000000-0011-0000-FFFF-FFFF1A000000}">
      <tableStyleElement type="headerRow" dxfId="101"/>
      <tableStyleElement type="firstRowStripe" dxfId="100"/>
      <tableStyleElement type="secondRowStripe" dxfId="99"/>
    </tableStyle>
    <tableStyle name="JUL-style 3" pivot="0" count="3" xr9:uid="{00000000-0011-0000-FFFF-FFFF1B000000}">
      <tableStyleElement type="headerRow" dxfId="98"/>
      <tableStyleElement type="firstRowStripe" dxfId="97"/>
      <tableStyleElement type="secondRowStripe" dxfId="96"/>
    </tableStyle>
    <tableStyle name="JUL-style 4" pivot="0" count="3" xr9:uid="{00000000-0011-0000-FFFF-FFFF1C000000}">
      <tableStyleElement type="headerRow" dxfId="95"/>
      <tableStyleElement type="firstRowStripe" dxfId="94"/>
      <tableStyleElement type="secondRowStripe" dxfId="93"/>
    </tableStyle>
    <tableStyle name="JUL-style 5" pivot="0" count="3" xr9:uid="{00000000-0011-0000-FFFF-FFFF1D000000}">
      <tableStyleElement type="headerRow" dxfId="92"/>
      <tableStyleElement type="firstRowStripe" dxfId="91"/>
      <tableStyleElement type="secondRowStripe" dxfId="90"/>
    </tableStyle>
    <tableStyle name="MAR-style" pivot="0" count="3" xr9:uid="{00000000-0011-0000-FFFF-FFFF1E000000}">
      <tableStyleElement type="headerRow" dxfId="89"/>
      <tableStyleElement type="firstRowStripe" dxfId="88"/>
      <tableStyleElement type="secondRowStripe" dxfId="87"/>
    </tableStyle>
    <tableStyle name="MAR-style 2" pivot="0" count="3" xr9:uid="{00000000-0011-0000-FFFF-FFFF1F000000}">
      <tableStyleElement type="headerRow" dxfId="86"/>
      <tableStyleElement type="firstRowStripe" dxfId="85"/>
      <tableStyleElement type="secondRowStripe" dxfId="84"/>
    </tableStyle>
    <tableStyle name="MAR-style 3" pivot="0" count="3" xr9:uid="{00000000-0011-0000-FFFF-FFFF20000000}">
      <tableStyleElement type="headerRow" dxfId="83"/>
      <tableStyleElement type="firstRowStripe" dxfId="82"/>
      <tableStyleElement type="secondRowStripe" dxfId="81"/>
    </tableStyle>
    <tableStyle name="MAR-style 4" pivot="0" count="3" xr9:uid="{00000000-0011-0000-FFFF-FFFF21000000}">
      <tableStyleElement type="headerRow" dxfId="80"/>
      <tableStyleElement type="firstRowStripe" dxfId="79"/>
      <tableStyleElement type="secondRowStripe" dxfId="78"/>
    </tableStyle>
    <tableStyle name="MAR-style 5" pivot="0" count="3" xr9:uid="{00000000-0011-0000-FFFF-FFFF22000000}">
      <tableStyleElement type="headerRow" dxfId="77"/>
      <tableStyleElement type="firstRowStripe" dxfId="76"/>
      <tableStyleElement type="secondRowStripe" dxfId="75"/>
    </tableStyle>
    <tableStyle name="AUG-style" pivot="0" count="3" xr9:uid="{00000000-0011-0000-FFFF-FFFF23000000}">
      <tableStyleElement type="headerRow" dxfId="74"/>
      <tableStyleElement type="firstRowStripe" dxfId="73"/>
      <tableStyleElement type="secondRowStripe" dxfId="72"/>
    </tableStyle>
    <tableStyle name="AUG-style 2" pivot="0" count="3" xr9:uid="{00000000-0011-0000-FFFF-FFFF24000000}">
      <tableStyleElement type="headerRow" dxfId="71"/>
      <tableStyleElement type="firstRowStripe" dxfId="70"/>
      <tableStyleElement type="secondRowStripe" dxfId="69"/>
    </tableStyle>
    <tableStyle name="AUG-style 3" pivot="0" count="3" xr9:uid="{00000000-0011-0000-FFFF-FFFF25000000}">
      <tableStyleElement type="headerRow" dxfId="68"/>
      <tableStyleElement type="firstRowStripe" dxfId="67"/>
      <tableStyleElement type="secondRowStripe" dxfId="66"/>
    </tableStyle>
    <tableStyle name="AUG-style 4" pivot="0" count="3" xr9:uid="{00000000-0011-0000-FFFF-FFFF26000000}">
      <tableStyleElement type="headerRow" dxfId="65"/>
      <tableStyleElement type="firstRowStripe" dxfId="64"/>
      <tableStyleElement type="secondRowStripe" dxfId="63"/>
    </tableStyle>
    <tableStyle name="AUG-style 5" pivot="0" count="3" xr9:uid="{00000000-0011-0000-FFFF-FFFF27000000}">
      <tableStyleElement type="headerRow" dxfId="62"/>
      <tableStyleElement type="firstRowStripe" dxfId="61"/>
      <tableStyleElement type="secondRowStripe" dxfId="60"/>
    </tableStyle>
    <tableStyle name="SEPT-style" pivot="0" count="3" xr9:uid="{00000000-0011-0000-FFFF-FFFF28000000}">
      <tableStyleElement type="headerRow" dxfId="59"/>
      <tableStyleElement type="firstRowStripe" dxfId="58"/>
      <tableStyleElement type="secondRowStripe" dxfId="57"/>
    </tableStyle>
    <tableStyle name="SEPT-style 2" pivot="0" count="3" xr9:uid="{00000000-0011-0000-FFFF-FFFF29000000}">
      <tableStyleElement type="headerRow" dxfId="56"/>
      <tableStyleElement type="firstRowStripe" dxfId="55"/>
      <tableStyleElement type="secondRowStripe" dxfId="54"/>
    </tableStyle>
    <tableStyle name="SEPT-style 3" pivot="0" count="3" xr9:uid="{00000000-0011-0000-FFFF-FFFF2A000000}">
      <tableStyleElement type="headerRow" dxfId="53"/>
      <tableStyleElement type="firstRowStripe" dxfId="52"/>
      <tableStyleElement type="secondRowStripe" dxfId="51"/>
    </tableStyle>
    <tableStyle name="SEPT-style 4" pivot="0" count="3" xr9:uid="{00000000-0011-0000-FFFF-FFFF2B000000}">
      <tableStyleElement type="headerRow" dxfId="50"/>
      <tableStyleElement type="firstRowStripe" dxfId="49"/>
      <tableStyleElement type="secondRowStripe" dxfId="48"/>
    </tableStyle>
    <tableStyle name="SEPT-style 5" pivot="0" count="3" xr9:uid="{00000000-0011-0000-FFFF-FFFF2C000000}">
      <tableStyleElement type="headerRow" dxfId="47"/>
      <tableStyleElement type="firstRowStripe" dxfId="46"/>
      <tableStyleElement type="secondRowStripe" dxfId="45"/>
    </tableStyle>
    <tableStyle name="OCT-style" pivot="0" count="3" xr9:uid="{00000000-0011-0000-FFFF-FFFF2D000000}">
      <tableStyleElement type="headerRow" dxfId="44"/>
      <tableStyleElement type="firstRowStripe" dxfId="43"/>
      <tableStyleElement type="secondRowStripe" dxfId="42"/>
    </tableStyle>
    <tableStyle name="OCT-style 2" pivot="0" count="3" xr9:uid="{00000000-0011-0000-FFFF-FFFF2E000000}">
      <tableStyleElement type="headerRow" dxfId="41"/>
      <tableStyleElement type="firstRowStripe" dxfId="40"/>
      <tableStyleElement type="secondRowStripe" dxfId="39"/>
    </tableStyle>
    <tableStyle name="OCT-style 3" pivot="0" count="3" xr9:uid="{00000000-0011-0000-FFFF-FFFF2F000000}">
      <tableStyleElement type="headerRow" dxfId="38"/>
      <tableStyleElement type="firstRowStripe" dxfId="37"/>
      <tableStyleElement type="secondRowStripe" dxfId="36"/>
    </tableStyle>
    <tableStyle name="OCT-style 4" pivot="0" count="3" xr9:uid="{00000000-0011-0000-FFFF-FFFF30000000}">
      <tableStyleElement type="headerRow" dxfId="35"/>
      <tableStyleElement type="firstRowStripe" dxfId="34"/>
      <tableStyleElement type="secondRowStripe" dxfId="33"/>
    </tableStyle>
    <tableStyle name="OCT-style 5" pivot="0" count="3" xr9:uid="{00000000-0011-0000-FFFF-FFFF31000000}">
      <tableStyleElement type="headerRow" dxfId="32"/>
      <tableStyleElement type="firstRowStripe" dxfId="31"/>
      <tableStyleElement type="secondRowStripe" dxfId="30"/>
    </tableStyle>
    <tableStyle name="NOV-style" pivot="0" count="3" xr9:uid="{00000000-0011-0000-FFFF-FFFF32000000}">
      <tableStyleElement type="headerRow" dxfId="29"/>
      <tableStyleElement type="firstRowStripe" dxfId="28"/>
      <tableStyleElement type="secondRowStripe" dxfId="27"/>
    </tableStyle>
    <tableStyle name="NOV-style 2" pivot="0" count="3" xr9:uid="{00000000-0011-0000-FFFF-FFFF33000000}">
      <tableStyleElement type="headerRow" dxfId="26"/>
      <tableStyleElement type="firstRowStripe" dxfId="25"/>
      <tableStyleElement type="secondRowStripe" dxfId="24"/>
    </tableStyle>
    <tableStyle name="NOV-style 3" pivot="0" count="3" xr9:uid="{00000000-0011-0000-FFFF-FFFF34000000}">
      <tableStyleElement type="headerRow" dxfId="23"/>
      <tableStyleElement type="firstRowStripe" dxfId="22"/>
      <tableStyleElement type="secondRowStripe" dxfId="21"/>
    </tableStyle>
    <tableStyle name="NOV-style 4" pivot="0" count="3" xr9:uid="{00000000-0011-0000-FFFF-FFFF35000000}">
      <tableStyleElement type="headerRow" dxfId="20"/>
      <tableStyleElement type="firstRowStripe" dxfId="19"/>
      <tableStyleElement type="secondRowStripe" dxfId="18"/>
    </tableStyle>
    <tableStyle name="NOV-style 5" pivot="0" count="3" xr9:uid="{00000000-0011-0000-FFFF-FFFF36000000}">
      <tableStyleElement type="headerRow" dxfId="17"/>
      <tableStyleElement type="firstRowStripe" dxfId="16"/>
      <tableStyleElement type="secondRowStripe" dxfId="15"/>
    </tableStyle>
    <tableStyle name="DEC-style" pivot="0" count="3" xr9:uid="{00000000-0011-0000-FFFF-FFFF37000000}">
      <tableStyleElement type="headerRow" dxfId="14"/>
      <tableStyleElement type="firstRowStripe" dxfId="13"/>
      <tableStyleElement type="secondRowStripe" dxfId="12"/>
    </tableStyle>
    <tableStyle name="DEC-style 2" pivot="0" count="3" xr9:uid="{00000000-0011-0000-FFFF-FFFF38000000}">
      <tableStyleElement type="headerRow" dxfId="11"/>
      <tableStyleElement type="firstRowStripe" dxfId="10"/>
      <tableStyleElement type="secondRowStripe" dxfId="9"/>
    </tableStyle>
    <tableStyle name="DEC-style 3" pivot="0" count="3" xr9:uid="{00000000-0011-0000-FFFF-FFFF39000000}">
      <tableStyleElement type="headerRow" dxfId="8"/>
      <tableStyleElement type="firstRowStripe" dxfId="7"/>
      <tableStyleElement type="secondRowStripe" dxfId="6"/>
    </tableStyle>
    <tableStyle name="DEC-style 4" pivot="0" count="3" xr9:uid="{00000000-0011-0000-FFFF-FFFF3A000000}">
      <tableStyleElement type="headerRow" dxfId="5"/>
      <tableStyleElement type="firstRowStripe" dxfId="4"/>
      <tableStyleElement type="secondRowStripe" dxfId="3"/>
    </tableStyle>
    <tableStyle name="DEC-style 5" pivot="0" count="3" xr9:uid="{00000000-0011-0000-FFFF-FFFF3B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accent1"/>
                </a:solidFill>
                <a:latin typeface="Calibri Light"/>
              </a:defRPr>
            </a:pPr>
            <a:r>
              <a:rPr lang="en-GB" sz="1600" b="1" i="0">
                <a:solidFill>
                  <a:schemeClr val="accent1"/>
                </a:solidFill>
                <a:latin typeface="Calibri Light"/>
              </a:rPr>
              <a:t>INCOME vs BILLS vs EXPENSES vs DEBTS vs SAVINGS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Income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0" i="0">
                    <a:latin typeface="+mn-lt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'YEARLY DASHBOARD'!$B$6:$B$17</c:f>
              <c:strCache>
                <c:ptCount val="12"/>
                <c:pt idx="0">
                  <c:v>January</c:v>
                </c:pt>
                <c:pt idx="1">
                  <c:v>Feburary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'YEARLY DASHBOARD'!$C$6:$C$17</c:f>
              <c:numCache>
                <c:formatCode>"USh"#,##0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6D7-4EA5-8820-23BA67526BAF}"/>
            </c:ext>
          </c:extLst>
        </c:ser>
        <c:ser>
          <c:idx val="1"/>
          <c:order val="1"/>
          <c:tx>
            <c:v>Bills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0" i="0">
                    <a:latin typeface="+mn-lt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'YEARLY DASHBOARD'!$B$6:$B$17</c:f>
              <c:strCache>
                <c:ptCount val="12"/>
                <c:pt idx="0">
                  <c:v>January</c:v>
                </c:pt>
                <c:pt idx="1">
                  <c:v>Feburary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'YEARLY DASHBOARD'!$D$6:$D$17</c:f>
              <c:numCache>
                <c:formatCode>"USh"#,##0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6D7-4EA5-8820-23BA67526BAF}"/>
            </c:ext>
          </c:extLst>
        </c:ser>
        <c:ser>
          <c:idx val="2"/>
          <c:order val="2"/>
          <c:tx>
            <c:v>Expenses</c:v>
          </c:tx>
          <c:spPr>
            <a:solidFill>
              <a:srgbClr val="70AD47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0" i="0">
                    <a:latin typeface="+mn-lt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'YEARLY DASHBOARD'!$B$6:$B$17</c:f>
              <c:strCache>
                <c:ptCount val="12"/>
                <c:pt idx="0">
                  <c:v>January</c:v>
                </c:pt>
                <c:pt idx="1">
                  <c:v>Feburary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'YEARLY DASHBOARD'!$E$6:$E$17</c:f>
              <c:numCache>
                <c:formatCode>"USh"#,##0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56D7-4EA5-8820-23BA67526BAF}"/>
            </c:ext>
          </c:extLst>
        </c:ser>
        <c:ser>
          <c:idx val="3"/>
          <c:order val="3"/>
          <c:tx>
            <c:v>Debts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0" i="0">
                    <a:latin typeface="+mn-lt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'YEARLY DASHBOARD'!$B$6:$B$17</c:f>
              <c:strCache>
                <c:ptCount val="12"/>
                <c:pt idx="0">
                  <c:v>January</c:v>
                </c:pt>
                <c:pt idx="1">
                  <c:v>Feburary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'YEARLY DASHBOARD'!$F$6:$F$17</c:f>
              <c:numCache>
                <c:formatCode>"USh"#,##0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56D7-4EA5-8820-23BA67526BAF}"/>
            </c:ext>
          </c:extLst>
        </c:ser>
        <c:ser>
          <c:idx val="4"/>
          <c:order val="4"/>
          <c:tx>
            <c:v>Savings</c:v>
          </c:tx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200" b="0" i="0">
                    <a:latin typeface="+mn-lt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'YEARLY DASHBOARD'!$B$6:$B$17</c:f>
              <c:strCache>
                <c:ptCount val="12"/>
                <c:pt idx="0">
                  <c:v>January</c:v>
                </c:pt>
                <c:pt idx="1">
                  <c:v>Feburary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'YEARLY DASHBOARD'!$G$6:$G$17</c:f>
              <c:numCache>
                <c:formatCode>"USh"#,##0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56D7-4EA5-8820-23BA67526B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14656496"/>
        <c:axId val="1374495359"/>
      </c:barChart>
      <c:catAx>
        <c:axId val="1714656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74495359"/>
        <c:crosses val="autoZero"/>
        <c:auto val="1"/>
        <c:lblAlgn val="ctr"/>
        <c:lblOffset val="100"/>
        <c:noMultiLvlLbl val="1"/>
      </c:catAx>
      <c:valAx>
        <c:axId val="137449535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1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14656496"/>
        <c:crosses val="autoZero"/>
        <c:crossBetween val="between"/>
      </c:valAx>
      <c:spPr>
        <a:solidFill>
          <a:schemeClr val="lt1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lt1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400" b="0" i="0">
                <a:solidFill>
                  <a:srgbClr val="757575"/>
                </a:solidFill>
                <a:latin typeface="+mn-lt"/>
              </a:defRPr>
            </a:pPr>
            <a:r>
              <a:rPr lang="en-GB" sz="1400" b="0" i="0">
                <a:solidFill>
                  <a:srgbClr val="757575"/>
                </a:solidFill>
                <a:latin typeface="+mn-lt"/>
              </a:rPr>
              <a:t>EXPENDITURE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CA2D-40C6-8462-09E8D237E345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'YEARLY DASHBOARD'!$D$5:$G$5</c:f>
              <c:strCache>
                <c:ptCount val="4"/>
                <c:pt idx="0">
                  <c:v>Bills</c:v>
                </c:pt>
                <c:pt idx="1">
                  <c:v>Expenses</c:v>
                </c:pt>
                <c:pt idx="2">
                  <c:v>Debts</c:v>
                </c:pt>
                <c:pt idx="3">
                  <c:v>Savings</c:v>
                </c:pt>
              </c:strCache>
            </c:strRef>
          </c:cat>
          <c:val>
            <c:numRef>
              <c:f>'YEARLY DASHBOARD'!$D$18:$G$18</c:f>
              <c:numCache>
                <c:formatCode>"USh"#,##0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C6-8462-09E8D237E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sz="1200" b="0" i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lang="en-GB" sz="1600" b="1" i="0">
                <a:solidFill>
                  <a:srgbClr val="757575"/>
                </a:solidFill>
                <a:latin typeface="+mn-lt"/>
              </a:rPr>
              <a:t>Total expenditure by Month</a:t>
            </a:r>
          </a:p>
        </c:rich>
      </c:tx>
      <c:overlay val="0"/>
    </c:title>
    <c:autoTitleDeleted val="0"/>
    <c:plotArea>
      <c:layout>
        <c:manualLayout>
          <c:xMode val="edge"/>
          <c:yMode val="edge"/>
          <c:x val="0.16244230511366115"/>
          <c:y val="0.13782580233827296"/>
          <c:w val="0.74388337272552496"/>
          <c:h val="0.82386175800764028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000" b="0" i="0">
                    <a:latin typeface="+mn-lt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'YEARLY DASHBOARD'!$B$6:$B$17</c:f>
              <c:strCache>
                <c:ptCount val="12"/>
                <c:pt idx="0">
                  <c:v>January</c:v>
                </c:pt>
                <c:pt idx="1">
                  <c:v>Feburary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'YEARLY DASHBOARD'!$H$6:$H$17</c:f>
              <c:numCache>
                <c:formatCode>"USh"#,##0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64B-4BD4-9E86-B84FEB4C5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7637888"/>
        <c:axId val="1624618643"/>
      </c:barChart>
      <c:catAx>
        <c:axId val="150763788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624618643"/>
        <c:crosses val="autoZero"/>
        <c:auto val="1"/>
        <c:lblAlgn val="ctr"/>
        <c:lblOffset val="100"/>
        <c:noMultiLvlLbl val="1"/>
      </c:catAx>
      <c:valAx>
        <c:axId val="1624618643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7637888"/>
        <c:crosses val="max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PLANNED VS ACTUAL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JAN!$B$11:$B$15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JAN!$C$11:$C$15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52B-4CCB-9BA6-B5D0FAB08B7B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JAN!$B$11:$B$15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JAN!$D$11:$D$15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52B-4CCB-9BA6-B5D0FAB08B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5944659"/>
        <c:axId val="1160627489"/>
      </c:barChart>
      <c:catAx>
        <c:axId val="9259446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0627489"/>
        <c:crosses val="autoZero"/>
        <c:auto val="1"/>
        <c:lblAlgn val="ctr"/>
        <c:lblOffset val="100"/>
        <c:noMultiLvlLbl val="1"/>
      </c:catAx>
      <c:valAx>
        <c:axId val="11606274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5944659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dk1"/>
                </a:solidFill>
                <a:latin typeface="+mn-lt"/>
              </a:defRPr>
            </a:pPr>
            <a:r>
              <a:rPr sz="1600" b="1" i="0">
                <a:solidFill>
                  <a:schemeClr val="dk1"/>
                </a:solidFill>
                <a:latin typeface="+mn-lt"/>
              </a:rPr>
              <a:t>Amount LEFT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DF84-4F04-8E97-B9B0EA606245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DF84-4F04-8E97-B9B0EA606245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DF84-4F04-8E97-B9B0EA60624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JAN!$C$10:$D$10</c:f>
              <c:strCache>
                <c:ptCount val="2"/>
                <c:pt idx="0">
                  <c:v>Planned</c:v>
                </c:pt>
                <c:pt idx="1">
                  <c:v>Actual</c:v>
                </c:pt>
              </c:strCache>
            </c:strRef>
          </c:cat>
          <c:val>
            <c:numRef>
              <c:f>JAN!$C$16:$D$16</c:f>
              <c:numCache>
                <c:formatCode>"USh"#,##0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F84-4F04-8E97-B9B0EA6062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1"/>
  </c:chart>
  <c:spPr>
    <a:solidFill>
      <a:schemeClr val="lt1"/>
    </a:solidFill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PLANNED VS ACTUAL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FEB!$B$11:$B$15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FEB!$C$11:$C$15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5CA-4401-9E62-B31B9187A541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FEB!$B$11:$B$15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FEB!$D$11:$D$15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5CA-4401-9E62-B31B9187A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2866826"/>
        <c:axId val="1405236181"/>
      </c:barChart>
      <c:catAx>
        <c:axId val="5328668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05236181"/>
        <c:crosses val="autoZero"/>
        <c:auto val="1"/>
        <c:lblAlgn val="ctr"/>
        <c:lblOffset val="100"/>
        <c:noMultiLvlLbl val="1"/>
      </c:catAx>
      <c:valAx>
        <c:axId val="14052361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32866826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dk1"/>
                </a:solidFill>
                <a:latin typeface="+mn-lt"/>
              </a:defRPr>
            </a:pPr>
            <a:r>
              <a:rPr sz="1600" b="1" i="0">
                <a:solidFill>
                  <a:schemeClr val="dk1"/>
                </a:solidFill>
                <a:latin typeface="+mn-lt"/>
              </a:rPr>
              <a:t>Amount LEFT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5766-40F4-9D37-697505BF9B7E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5766-40F4-9D37-697505BF9B7E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5766-40F4-9D37-697505BF9B7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FEB!$C$10:$D$10</c:f>
              <c:strCache>
                <c:ptCount val="2"/>
                <c:pt idx="0">
                  <c:v>Planned</c:v>
                </c:pt>
                <c:pt idx="1">
                  <c:v>Actual</c:v>
                </c:pt>
              </c:strCache>
            </c:strRef>
          </c:cat>
          <c:val>
            <c:numRef>
              <c:f>FEB!$C$16:$D$16</c:f>
              <c:numCache>
                <c:formatCode>"USh"#,##0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66-40F4-9D37-697505BF9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1"/>
  </c:chart>
  <c:spPr>
    <a:solidFill>
      <a:schemeClr val="lt1"/>
    </a:solidFill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PLANNED VS ACTUAL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APR!$B$11:$B$15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APR!$C$11:$C$15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03D-4033-BFEE-F430B0078FCA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APR!$B$11:$B$15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APR!$D$11:$D$15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03D-4033-BFEE-F430B0078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69097989"/>
        <c:axId val="197755166"/>
      </c:barChart>
      <c:catAx>
        <c:axId val="11690979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97755166"/>
        <c:crosses val="autoZero"/>
        <c:auto val="1"/>
        <c:lblAlgn val="ctr"/>
        <c:lblOffset val="100"/>
        <c:noMultiLvlLbl val="1"/>
      </c:catAx>
      <c:valAx>
        <c:axId val="1977551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69097989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dk1"/>
                </a:solidFill>
                <a:latin typeface="+mn-lt"/>
              </a:defRPr>
            </a:pPr>
            <a:r>
              <a:rPr sz="1600" b="1" i="0">
                <a:solidFill>
                  <a:schemeClr val="dk1"/>
                </a:solidFill>
                <a:latin typeface="+mn-lt"/>
              </a:rPr>
              <a:t>Amount LEFT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E23B-4D6E-8AD2-37004681A81B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23B-4D6E-8AD2-37004681A81B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E23B-4D6E-8AD2-37004681A81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APR!$C$10:$D$10</c:f>
              <c:strCache>
                <c:ptCount val="2"/>
                <c:pt idx="0">
                  <c:v>Planned</c:v>
                </c:pt>
                <c:pt idx="1">
                  <c:v>Actual</c:v>
                </c:pt>
              </c:strCache>
            </c:strRef>
          </c:cat>
          <c:val>
            <c:numRef>
              <c:f>APR!$C$16:$D$16</c:f>
              <c:numCache>
                <c:formatCode>"USh"#,##0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3B-4D6E-8AD2-37004681A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1"/>
  </c:chart>
  <c:spPr>
    <a:solidFill>
      <a:schemeClr val="lt1"/>
    </a:solidFill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PLANNED VS ACTUAL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MAY!$B$11:$B$15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MAY!$C$11:$C$15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530-45AD-8D09-6971D2E430D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MAY!$B$11:$B$15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MAY!$D$11:$D$15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530-45AD-8D09-6971D2E43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4023431"/>
        <c:axId val="1407117501"/>
      </c:barChart>
      <c:catAx>
        <c:axId val="14540234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07117501"/>
        <c:crosses val="autoZero"/>
        <c:auto val="1"/>
        <c:lblAlgn val="ctr"/>
        <c:lblOffset val="100"/>
        <c:noMultiLvlLbl val="1"/>
      </c:catAx>
      <c:valAx>
        <c:axId val="14071175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5402343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dk1"/>
                </a:solidFill>
                <a:latin typeface="+mn-lt"/>
              </a:defRPr>
            </a:pPr>
            <a:r>
              <a:rPr sz="1600" b="1" i="0">
                <a:solidFill>
                  <a:schemeClr val="dk1"/>
                </a:solidFill>
                <a:latin typeface="+mn-lt"/>
              </a:rPr>
              <a:t>Amount LEFT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D7B4-40D0-B3A5-EFCA1346B973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D7B4-40D0-B3A5-EFCA1346B973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D7B4-40D0-B3A5-EFCA1346B97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MAY!$C$10:$D$10</c:f>
              <c:strCache>
                <c:ptCount val="2"/>
                <c:pt idx="0">
                  <c:v>Planned</c:v>
                </c:pt>
                <c:pt idx="1">
                  <c:v>Actual</c:v>
                </c:pt>
              </c:strCache>
            </c:strRef>
          </c:cat>
          <c:val>
            <c:numRef>
              <c:f>MAY!$C$16:$D$16</c:f>
              <c:numCache>
                <c:formatCode>"USh"#,##0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7B4-40D0-B3A5-EFCA1346B9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1"/>
  </c:chart>
  <c:spPr>
    <a:solidFill>
      <a:schemeClr val="lt1"/>
    </a:solidFill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PLANNED VS ACTUAL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JUN!$B$11:$B$15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JUN!$C$11:$C$15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D6B-42FE-AFA6-F000A3C0E6F3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JUN!$B$11:$B$15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JUN!$D$11:$D$15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D6B-42FE-AFA6-F000A3C0E6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246547"/>
        <c:axId val="1033364707"/>
      </c:barChart>
      <c:catAx>
        <c:axId val="4862465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33364707"/>
        <c:crosses val="autoZero"/>
        <c:auto val="1"/>
        <c:lblAlgn val="ctr"/>
        <c:lblOffset val="100"/>
        <c:noMultiLvlLbl val="1"/>
      </c:catAx>
      <c:valAx>
        <c:axId val="103336470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624654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dk1"/>
                </a:solidFill>
                <a:latin typeface="+mn-lt"/>
              </a:defRPr>
            </a:pPr>
            <a:r>
              <a:rPr sz="1600" b="1" i="0">
                <a:solidFill>
                  <a:schemeClr val="dk1"/>
                </a:solidFill>
                <a:latin typeface="+mn-lt"/>
              </a:rPr>
              <a:t>Amount LEFT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C2FF-4B61-B467-6EF6E02ABE2D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C2FF-4B61-B467-6EF6E02ABE2D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C2FF-4B61-B467-6EF6E02ABE2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JUN!$C$10:$D$10</c:f>
              <c:strCache>
                <c:ptCount val="2"/>
                <c:pt idx="0">
                  <c:v>Planned</c:v>
                </c:pt>
                <c:pt idx="1">
                  <c:v>Actual</c:v>
                </c:pt>
              </c:strCache>
            </c:strRef>
          </c:cat>
          <c:val>
            <c:numRef>
              <c:f>JUN!$C$16:$D$16</c:f>
              <c:numCache>
                <c:formatCode>"USh"#,##0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2FF-4B61-B467-6EF6E02AB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1"/>
  </c:chart>
  <c:spPr>
    <a:solidFill>
      <a:schemeClr val="lt1"/>
    </a:solidFill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PLANNED VS ACTUAL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JUL!$B$11:$B$15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JUL!$C$11:$C$15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9C1-4E05-8D14-DC96A0B548DA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JUL!$B$11:$B$15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JUL!$D$11:$D$15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9C1-4E05-8D14-DC96A0B54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957857"/>
        <c:axId val="291571227"/>
      </c:barChart>
      <c:catAx>
        <c:axId val="104095785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91571227"/>
        <c:crosses val="autoZero"/>
        <c:auto val="1"/>
        <c:lblAlgn val="ctr"/>
        <c:lblOffset val="100"/>
        <c:noMultiLvlLbl val="1"/>
      </c:catAx>
      <c:valAx>
        <c:axId val="2915712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04095785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dk1"/>
                </a:solidFill>
                <a:latin typeface="+mn-lt"/>
              </a:defRPr>
            </a:pPr>
            <a:r>
              <a:rPr sz="1600" b="1" i="0">
                <a:solidFill>
                  <a:schemeClr val="dk1"/>
                </a:solidFill>
                <a:latin typeface="+mn-lt"/>
              </a:rPr>
              <a:t>Amount LEFT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62B0-4885-AC18-8E3E2B0F5C2B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2B0-4885-AC18-8E3E2B0F5C2B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62B0-4885-AC18-8E3E2B0F5C2B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JUL!$C$10:$D$10</c:f>
              <c:strCache>
                <c:ptCount val="2"/>
                <c:pt idx="0">
                  <c:v>Planned</c:v>
                </c:pt>
                <c:pt idx="1">
                  <c:v>Actual</c:v>
                </c:pt>
              </c:strCache>
            </c:strRef>
          </c:cat>
          <c:val>
            <c:numRef>
              <c:f>JUL!$C$16:$D$16</c:f>
              <c:numCache>
                <c:formatCode>"USh"#,##0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2B0-4885-AC18-8E3E2B0F5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1"/>
  </c:chart>
  <c:spPr>
    <a:solidFill>
      <a:schemeClr val="lt1"/>
    </a:solidFill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PLANNED VS ACTUAL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MAR!$B$11:$B$15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MAR!$C$11:$C$15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C52-48B7-B9BC-A65CA0A811CA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MAR!$B$11:$B$15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MAR!$D$11:$D$15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C52-48B7-B9BC-A65CA0A811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29723970"/>
        <c:axId val="415582144"/>
      </c:barChart>
      <c:catAx>
        <c:axId val="13297239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5582144"/>
        <c:crosses val="autoZero"/>
        <c:auto val="1"/>
        <c:lblAlgn val="ctr"/>
        <c:lblOffset val="100"/>
        <c:noMultiLvlLbl val="1"/>
      </c:catAx>
      <c:valAx>
        <c:axId val="4155821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29723970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dk1"/>
                </a:solidFill>
                <a:latin typeface="+mn-lt"/>
              </a:defRPr>
            </a:pPr>
            <a:r>
              <a:rPr sz="1600" b="1" i="0">
                <a:solidFill>
                  <a:schemeClr val="dk1"/>
                </a:solidFill>
                <a:latin typeface="+mn-lt"/>
              </a:rPr>
              <a:t>Amount LEFT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DDCC-4224-8AE8-07A3C3DE2D02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DDCC-4224-8AE8-07A3C3DE2D02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DDCC-4224-8AE8-07A3C3DE2D02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MAR!$C$10:$D$10</c:f>
              <c:strCache>
                <c:ptCount val="2"/>
                <c:pt idx="0">
                  <c:v>Planned</c:v>
                </c:pt>
                <c:pt idx="1">
                  <c:v>Actual</c:v>
                </c:pt>
              </c:strCache>
            </c:strRef>
          </c:cat>
          <c:val>
            <c:numRef>
              <c:f>MAR!$C$16:$D$16</c:f>
              <c:numCache>
                <c:formatCode>"USh"#,##0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CC-4224-8AE8-07A3C3DE2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1"/>
  </c:chart>
  <c:spPr>
    <a:solidFill>
      <a:schemeClr val="lt1"/>
    </a:solidFill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PLANNED VS ACTUAL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AUG!$B$11:$B$15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AUG!$C$11:$C$15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CD7-41B5-A7F4-CFB8A81868C1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AUG!$B$11:$B$15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AUG!$D$11:$D$15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ACD7-41B5-A7F4-CFB8A81868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63608313"/>
        <c:axId val="571897956"/>
      </c:barChart>
      <c:catAx>
        <c:axId val="13636083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71897956"/>
        <c:crosses val="autoZero"/>
        <c:auto val="1"/>
        <c:lblAlgn val="ctr"/>
        <c:lblOffset val="100"/>
        <c:noMultiLvlLbl val="1"/>
      </c:catAx>
      <c:valAx>
        <c:axId val="57189795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363608313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dk1"/>
                </a:solidFill>
                <a:latin typeface="+mn-lt"/>
              </a:defRPr>
            </a:pPr>
            <a:r>
              <a:rPr sz="1600" b="1" i="0">
                <a:solidFill>
                  <a:schemeClr val="dk1"/>
                </a:solidFill>
                <a:latin typeface="+mn-lt"/>
              </a:rPr>
              <a:t>Amount LEFT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DC5D-47B4-A20F-55DE5981ED46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DC5D-47B4-A20F-55DE5981ED46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DC5D-47B4-A20F-55DE5981ED4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AUG!$C$10:$D$10</c:f>
              <c:strCache>
                <c:ptCount val="2"/>
                <c:pt idx="0">
                  <c:v>Planned</c:v>
                </c:pt>
                <c:pt idx="1">
                  <c:v>Actual</c:v>
                </c:pt>
              </c:strCache>
            </c:strRef>
          </c:cat>
          <c:val>
            <c:numRef>
              <c:f>AUG!$C$16:$D$16</c:f>
              <c:numCache>
                <c:formatCode>"USh"#,##0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5D-47B4-A20F-55DE5981ED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1"/>
  </c:chart>
  <c:spPr>
    <a:solidFill>
      <a:schemeClr val="lt1"/>
    </a:solidFill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PLANNED VS ACTUAL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SEPT!$B$11:$B$15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SEPT!$C$11:$C$15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EFC-4031-8558-134785C7F753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SEPT!$B$11:$B$15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SEPT!$D$11:$D$15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EFC-4031-8558-134785C7F7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21227426"/>
        <c:axId val="897987378"/>
      </c:barChart>
      <c:catAx>
        <c:axId val="92122742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97987378"/>
        <c:crosses val="autoZero"/>
        <c:auto val="1"/>
        <c:lblAlgn val="ctr"/>
        <c:lblOffset val="100"/>
        <c:noMultiLvlLbl val="1"/>
      </c:catAx>
      <c:valAx>
        <c:axId val="8979873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21227426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dk1"/>
                </a:solidFill>
                <a:latin typeface="+mn-lt"/>
              </a:defRPr>
            </a:pPr>
            <a:r>
              <a:rPr sz="1600" b="1" i="0">
                <a:solidFill>
                  <a:schemeClr val="dk1"/>
                </a:solidFill>
                <a:latin typeface="+mn-lt"/>
              </a:rPr>
              <a:t>Amount LEFT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1E82-402A-8B27-9C0E8C61C3C5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1E82-402A-8B27-9C0E8C61C3C5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1E82-402A-8B27-9C0E8C61C3C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SEPT!$C$10:$D$10</c:f>
              <c:strCache>
                <c:ptCount val="2"/>
                <c:pt idx="0">
                  <c:v>Planned</c:v>
                </c:pt>
                <c:pt idx="1">
                  <c:v>Actual</c:v>
                </c:pt>
              </c:strCache>
            </c:strRef>
          </c:cat>
          <c:val>
            <c:numRef>
              <c:f>SEPT!$C$16:$D$16</c:f>
              <c:numCache>
                <c:formatCode>"USh"#,##0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E82-402A-8B27-9C0E8C61C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1"/>
  </c:chart>
  <c:spPr>
    <a:solidFill>
      <a:schemeClr val="lt1"/>
    </a:solidFill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PLANNED VS ACTUAL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OCT!$B$11:$B$15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OCT!$C$11:$C$15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DFB-4FEF-88BC-2166B2F7D3E2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OCT!$B$11:$B$15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OCT!$D$11:$D$15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DFB-4FEF-88BC-2166B2F7D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07806762"/>
        <c:axId val="982816026"/>
      </c:barChart>
      <c:catAx>
        <c:axId val="14078067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82816026"/>
        <c:crosses val="autoZero"/>
        <c:auto val="1"/>
        <c:lblAlgn val="ctr"/>
        <c:lblOffset val="100"/>
        <c:noMultiLvlLbl val="1"/>
      </c:catAx>
      <c:valAx>
        <c:axId val="9828160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407806762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dk1"/>
                </a:solidFill>
                <a:latin typeface="+mn-lt"/>
              </a:defRPr>
            </a:pPr>
            <a:r>
              <a:rPr sz="1600" b="1" i="0">
                <a:solidFill>
                  <a:schemeClr val="dk1"/>
                </a:solidFill>
                <a:latin typeface="+mn-lt"/>
              </a:rPr>
              <a:t>Amount LEFT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213D-49A7-B9F4-C0B662AF3FF0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13D-49A7-B9F4-C0B662AF3FF0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213D-49A7-B9F4-C0B662AF3FF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OCT!$C$10:$D$10</c:f>
              <c:strCache>
                <c:ptCount val="2"/>
                <c:pt idx="0">
                  <c:v>Planned</c:v>
                </c:pt>
                <c:pt idx="1">
                  <c:v>Actual</c:v>
                </c:pt>
              </c:strCache>
            </c:strRef>
          </c:cat>
          <c:val>
            <c:numRef>
              <c:f>OCT!$C$16:$D$16</c:f>
              <c:numCache>
                <c:formatCode>"USh"#,##0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13D-49A7-B9F4-C0B662AF3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1"/>
  </c:chart>
  <c:spPr>
    <a:solidFill>
      <a:schemeClr val="lt1"/>
    </a:solidFill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PLANNED VS ACTUAL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NOV!$B$11:$B$15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NOV!$C$11:$C$15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D5D-49C2-9EC4-82DD231C4F0D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NOV!$B$11:$B$15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NOV!$D$11:$D$15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D5D-49C2-9EC4-82DD231C4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4192247"/>
        <c:axId val="188822525"/>
      </c:barChart>
      <c:catAx>
        <c:axId val="1504192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8822525"/>
        <c:crosses val="autoZero"/>
        <c:auto val="1"/>
        <c:lblAlgn val="ctr"/>
        <c:lblOffset val="100"/>
        <c:noMultiLvlLbl val="1"/>
      </c:catAx>
      <c:valAx>
        <c:axId val="1888225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0419224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dk1"/>
                </a:solidFill>
                <a:latin typeface="+mn-lt"/>
              </a:defRPr>
            </a:pPr>
            <a:r>
              <a:rPr sz="1600" b="1" i="0">
                <a:solidFill>
                  <a:schemeClr val="dk1"/>
                </a:solidFill>
                <a:latin typeface="+mn-lt"/>
              </a:rPr>
              <a:t>Amount LEFT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F3CB-4DA4-9CB5-E1233BE369E8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3CB-4DA4-9CB5-E1233BE369E8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F3CB-4DA4-9CB5-E1233BE369E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NOV!$C$10:$D$10</c:f>
              <c:strCache>
                <c:ptCount val="2"/>
                <c:pt idx="0">
                  <c:v>Planned</c:v>
                </c:pt>
                <c:pt idx="1">
                  <c:v>Actual</c:v>
                </c:pt>
              </c:strCache>
            </c:strRef>
          </c:cat>
          <c:val>
            <c:numRef>
              <c:f>NOV!$C$16:$D$16</c:f>
              <c:numCache>
                <c:formatCode>"USh"#,##0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3CB-4DA4-9CB5-E1233BE369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1"/>
  </c:chart>
  <c:spPr>
    <a:solidFill>
      <a:schemeClr val="lt1"/>
    </a:solidFill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rgbClr val="757575"/>
                </a:solidFill>
                <a:latin typeface="+mn-lt"/>
              </a:defRPr>
            </a:pPr>
            <a:r>
              <a:rPr sz="1600" b="1" i="0">
                <a:solidFill>
                  <a:srgbClr val="757575"/>
                </a:solidFill>
                <a:latin typeface="+mn-lt"/>
              </a:rPr>
              <a:t>PLANNED VS ACTUAL BUDGET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Planned</c:v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DEC!$B$11:$B$15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DEC!$C$11:$C$15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3C7-426D-928D-852552CF634F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DEC!$B$11:$B$15</c:f>
              <c:strCache>
                <c:ptCount val="5"/>
                <c:pt idx="0">
                  <c:v>INCOME</c:v>
                </c:pt>
                <c:pt idx="1">
                  <c:v>BILLS</c:v>
                </c:pt>
                <c:pt idx="2">
                  <c:v>EXPENSES</c:v>
                </c:pt>
                <c:pt idx="3">
                  <c:v>DEBT</c:v>
                </c:pt>
                <c:pt idx="4">
                  <c:v>SAVINGS</c:v>
                </c:pt>
              </c:strCache>
            </c:strRef>
          </c:cat>
          <c:val>
            <c:numRef>
              <c:f>DEC!$D$11:$D$15</c:f>
              <c:numCache>
                <c:formatCode>"USh"#,##0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3C7-426D-928D-852552CF6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76584617"/>
        <c:axId val="1851965364"/>
      </c:barChart>
      <c:catAx>
        <c:axId val="17765846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51965364"/>
        <c:crosses val="autoZero"/>
        <c:auto val="1"/>
        <c:lblAlgn val="ctr"/>
        <c:lblOffset val="100"/>
        <c:noMultiLvlLbl val="1"/>
      </c:catAx>
      <c:valAx>
        <c:axId val="185196536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&quot;USh&quot;#,##0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7658461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sz="1600" b="1" i="0">
                <a:solidFill>
                  <a:schemeClr val="dk1"/>
                </a:solidFill>
                <a:latin typeface="+mn-lt"/>
              </a:defRPr>
            </a:pPr>
            <a:r>
              <a:rPr sz="1600" b="1" i="0">
                <a:solidFill>
                  <a:schemeClr val="dk1"/>
                </a:solidFill>
                <a:latin typeface="+mn-lt"/>
              </a:rPr>
              <a:t>Amount LEFT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</c:spPr>
            <c:extLst>
              <c:ext xmlns:c16="http://schemas.microsoft.com/office/drawing/2014/chart" uri="{C3380CC4-5D6E-409C-BE32-E72D297353CC}">
                <c16:uniqueId val="{00000001-6AA6-409A-9A47-2236D1AAD198}"/>
              </c:ext>
            </c:extLst>
          </c:dPt>
          <c:dLbls>
            <c:dLbl>
              <c:idx val="0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6AA6-409A-9A47-2236D1AAD198}"/>
                </c:ext>
              </c:extLst>
            </c:dLbl>
            <c:dLbl>
              <c:idx val="1"/>
              <c:spPr/>
              <c:txPr>
                <a:bodyPr/>
                <a:lstStyle/>
                <a:p>
                  <a:pPr lvl="0">
                    <a:defRPr sz="1000" b="1" i="0">
                      <a:solidFill>
                        <a:srgbClr val="000000"/>
                      </a:solidFill>
                      <a:latin typeface="+mn-lt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2-6AA6-409A-9A47-2236D1AAD198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DEC!$C$10:$D$10</c:f>
              <c:strCache>
                <c:ptCount val="2"/>
                <c:pt idx="0">
                  <c:v>Planned</c:v>
                </c:pt>
                <c:pt idx="1">
                  <c:v>Actual</c:v>
                </c:pt>
              </c:strCache>
            </c:strRef>
          </c:cat>
          <c:val>
            <c:numRef>
              <c:f>DEC!$C$16:$D$16</c:f>
              <c:numCache>
                <c:formatCode>"USh"#,##0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AA6-409A-9A47-2236D1AAD1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zero"/>
    <c:showDLblsOverMax val="1"/>
  </c:chart>
  <c:spPr>
    <a:solidFill>
      <a:schemeClr val="lt1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</xdr:colOff>
      <xdr:row>18</xdr:row>
      <xdr:rowOff>57150</xdr:rowOff>
    </xdr:from>
    <xdr:ext cx="17202150" cy="3143250"/>
    <xdr:graphicFrame macro="">
      <xdr:nvGraphicFramePr>
        <xdr:cNvPr id="260393186" name="Chart 1">
          <a:extLst>
            <a:ext uri="{FF2B5EF4-FFF2-40B4-BE49-F238E27FC236}">
              <a16:creationId xmlns:a16="http://schemas.microsoft.com/office/drawing/2014/main" id="{00000000-0008-0000-0000-0000E24885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9</xdr:col>
      <xdr:colOff>0</xdr:colOff>
      <xdr:row>5</xdr:row>
      <xdr:rowOff>123825</xdr:rowOff>
    </xdr:from>
    <xdr:ext cx="4781550" cy="2933700"/>
    <xdr:graphicFrame macro="">
      <xdr:nvGraphicFramePr>
        <xdr:cNvPr id="1896315254" name="Chart 2">
          <a:extLst>
            <a:ext uri="{FF2B5EF4-FFF2-40B4-BE49-F238E27FC236}">
              <a16:creationId xmlns:a16="http://schemas.microsoft.com/office/drawing/2014/main" id="{00000000-0008-0000-0000-0000767907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16</xdr:col>
      <xdr:colOff>276225</xdr:colOff>
      <xdr:row>5</xdr:row>
      <xdr:rowOff>95250</xdr:rowOff>
    </xdr:from>
    <xdr:ext cx="4791075" cy="2914650"/>
    <xdr:graphicFrame macro="">
      <xdr:nvGraphicFramePr>
        <xdr:cNvPr id="772149742" name="Chart 3">
          <a:extLst>
            <a:ext uri="{FF2B5EF4-FFF2-40B4-BE49-F238E27FC236}">
              <a16:creationId xmlns:a16="http://schemas.microsoft.com/office/drawing/2014/main" id="{00000000-0008-0000-0000-0000EE110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</xdr:col>
      <xdr:colOff>9525</xdr:colOff>
      <xdr:row>0</xdr:row>
      <xdr:rowOff>85725</xdr:rowOff>
    </xdr:from>
    <xdr:ext cx="6991350" cy="5810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855088" y="3494250"/>
          <a:ext cx="6981825" cy="571500"/>
        </a:xfrm>
        <a:prstGeom prst="roundRect">
          <a:avLst>
            <a:gd name="adj" fmla="val 16667"/>
          </a:avLst>
        </a:prstGeom>
        <a:gradFill>
          <a:gsLst>
            <a:gs pos="0">
              <a:srgbClr val="B0CAE9"/>
            </a:gs>
            <a:gs pos="50000">
              <a:srgbClr val="A1C1E4"/>
            </a:gs>
            <a:gs pos="100000">
              <a:srgbClr val="90B8E4"/>
            </a:gs>
          </a:gsLst>
          <a:lin ang="5400000" scaled="0"/>
        </a:gradFill>
        <a:ln w="9525" cap="flat" cmpd="sng">
          <a:solidFill>
            <a:schemeClr val="accent1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2000" b="1" i="0" u="none" strike="noStrike">
              <a:solidFill>
                <a:srgbClr val="0C0C0C"/>
              </a:solidFill>
              <a:latin typeface="Arial"/>
              <a:ea typeface="Arial"/>
              <a:cs typeface="Arial"/>
              <a:sym typeface="Arial"/>
            </a:rPr>
            <a:t>ANNUAL</a:t>
          </a:r>
          <a:r>
            <a:rPr lang="en-US" sz="2000" b="1" i="0" u="none" strike="noStrike" baseline="0">
              <a:solidFill>
                <a:srgbClr val="0C0C0C"/>
              </a:solidFill>
              <a:latin typeface="Arial"/>
              <a:ea typeface="Arial"/>
              <a:cs typeface="Arial"/>
              <a:sym typeface="Arial"/>
            </a:rPr>
            <a:t> BUDGET &amp; EXPENSE TRACKER </a:t>
          </a:r>
          <a:r>
            <a:rPr lang="en-US" sz="2000" b="1" i="0" u="none" strike="noStrike">
              <a:solidFill>
                <a:srgbClr val="0C0C0C"/>
              </a:solidFill>
              <a:latin typeface="Arial"/>
              <a:ea typeface="Arial"/>
              <a:cs typeface="Arial"/>
              <a:sym typeface="Arial"/>
            </a:rPr>
            <a:t>DASHBOARD</a:t>
          </a:r>
          <a:r>
            <a:rPr lang="en-US" sz="2000" b="1">
              <a:solidFill>
                <a:srgbClr val="0C0C0C"/>
              </a:solidFill>
              <a:latin typeface="Arial"/>
              <a:ea typeface="Arial"/>
              <a:cs typeface="Arial"/>
              <a:sym typeface="Arial"/>
            </a:rPr>
            <a:t> </a:t>
          </a:r>
          <a:endParaRPr sz="2000" b="1">
            <a:solidFill>
              <a:srgbClr val="0C0C0C"/>
            </a:solidFill>
            <a:latin typeface="Arial"/>
            <a:ea typeface="Arial"/>
            <a:cs typeface="Arial"/>
            <a:sym typeface="Arial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285750</xdr:colOff>
      <xdr:row>5</xdr:row>
      <xdr:rowOff>142875</xdr:rowOff>
    </xdr:from>
    <xdr:ext cx="6134100" cy="2076450"/>
    <xdr:graphicFrame macro="">
      <xdr:nvGraphicFramePr>
        <xdr:cNvPr id="753346070" name="Chart 4">
          <a:extLst>
            <a:ext uri="{FF2B5EF4-FFF2-40B4-BE49-F238E27FC236}">
              <a16:creationId xmlns:a16="http://schemas.microsoft.com/office/drawing/2014/main" id="{00000000-0008-0000-0200-00001626E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790575</xdr:colOff>
      <xdr:row>5</xdr:row>
      <xdr:rowOff>161925</xdr:rowOff>
    </xdr:from>
    <xdr:ext cx="4457700" cy="2095500"/>
    <xdr:graphicFrame macro="">
      <xdr:nvGraphicFramePr>
        <xdr:cNvPr id="1740908420" name="Chart 5">
          <a:extLst>
            <a:ext uri="{FF2B5EF4-FFF2-40B4-BE49-F238E27FC236}">
              <a16:creationId xmlns:a16="http://schemas.microsoft.com/office/drawing/2014/main" id="{00000000-0008-0000-0200-00008427C4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285750</xdr:colOff>
      <xdr:row>5</xdr:row>
      <xdr:rowOff>142875</xdr:rowOff>
    </xdr:from>
    <xdr:ext cx="6134100" cy="2076450"/>
    <xdr:graphicFrame macro="">
      <xdr:nvGraphicFramePr>
        <xdr:cNvPr id="392332476" name="Chart 6">
          <a:extLst>
            <a:ext uri="{FF2B5EF4-FFF2-40B4-BE49-F238E27FC236}">
              <a16:creationId xmlns:a16="http://schemas.microsoft.com/office/drawing/2014/main" id="{00000000-0008-0000-0300-0000BC8462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790575</xdr:colOff>
      <xdr:row>5</xdr:row>
      <xdr:rowOff>161925</xdr:rowOff>
    </xdr:from>
    <xdr:ext cx="4457700" cy="2095500"/>
    <xdr:graphicFrame macro="">
      <xdr:nvGraphicFramePr>
        <xdr:cNvPr id="890052671" name="Chart 7">
          <a:extLst>
            <a:ext uri="{FF2B5EF4-FFF2-40B4-BE49-F238E27FC236}">
              <a16:creationId xmlns:a16="http://schemas.microsoft.com/office/drawing/2014/main" id="{00000000-0008-0000-0300-00003F200D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285750</xdr:colOff>
      <xdr:row>5</xdr:row>
      <xdr:rowOff>142875</xdr:rowOff>
    </xdr:from>
    <xdr:ext cx="6134100" cy="2076450"/>
    <xdr:graphicFrame macro="">
      <xdr:nvGraphicFramePr>
        <xdr:cNvPr id="1909285927" name="Chart 8">
          <a:extLst>
            <a:ext uri="{FF2B5EF4-FFF2-40B4-BE49-F238E27FC236}">
              <a16:creationId xmlns:a16="http://schemas.microsoft.com/office/drawing/2014/main" id="{00000000-0008-0000-0400-00002764CD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790575</xdr:colOff>
      <xdr:row>5</xdr:row>
      <xdr:rowOff>161925</xdr:rowOff>
    </xdr:from>
    <xdr:ext cx="4457700" cy="2095500"/>
    <xdr:graphicFrame macro="">
      <xdr:nvGraphicFramePr>
        <xdr:cNvPr id="1344322376" name="Chart 9">
          <a:extLst>
            <a:ext uri="{FF2B5EF4-FFF2-40B4-BE49-F238E27FC236}">
              <a16:creationId xmlns:a16="http://schemas.microsoft.com/office/drawing/2014/main" id="{00000000-0008-0000-0400-000048BB20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285750</xdr:colOff>
      <xdr:row>5</xdr:row>
      <xdr:rowOff>142875</xdr:rowOff>
    </xdr:from>
    <xdr:ext cx="6134100" cy="2076450"/>
    <xdr:graphicFrame macro="">
      <xdr:nvGraphicFramePr>
        <xdr:cNvPr id="1147786023" name="Chart 10">
          <a:extLst>
            <a:ext uri="{FF2B5EF4-FFF2-40B4-BE49-F238E27FC236}">
              <a16:creationId xmlns:a16="http://schemas.microsoft.com/office/drawing/2014/main" id="{00000000-0008-0000-0500-000027D369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790575</xdr:colOff>
      <xdr:row>5</xdr:row>
      <xdr:rowOff>161925</xdr:rowOff>
    </xdr:from>
    <xdr:ext cx="4457700" cy="2095500"/>
    <xdr:graphicFrame macro="">
      <xdr:nvGraphicFramePr>
        <xdr:cNvPr id="593456836" name="Chart 11">
          <a:extLst>
            <a:ext uri="{FF2B5EF4-FFF2-40B4-BE49-F238E27FC236}">
              <a16:creationId xmlns:a16="http://schemas.microsoft.com/office/drawing/2014/main" id="{00000000-0008-0000-0500-0000C46E5F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285750</xdr:colOff>
      <xdr:row>5</xdr:row>
      <xdr:rowOff>142875</xdr:rowOff>
    </xdr:from>
    <xdr:ext cx="6134100" cy="2076450"/>
    <xdr:graphicFrame macro="">
      <xdr:nvGraphicFramePr>
        <xdr:cNvPr id="635264297" name="Chart 12">
          <a:extLst>
            <a:ext uri="{FF2B5EF4-FFF2-40B4-BE49-F238E27FC236}">
              <a16:creationId xmlns:a16="http://schemas.microsoft.com/office/drawing/2014/main" id="{00000000-0008-0000-0600-0000295DDD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790575</xdr:colOff>
      <xdr:row>5</xdr:row>
      <xdr:rowOff>161925</xdr:rowOff>
    </xdr:from>
    <xdr:ext cx="4457700" cy="2095500"/>
    <xdr:graphicFrame macro="">
      <xdr:nvGraphicFramePr>
        <xdr:cNvPr id="1602687110" name="Chart 13">
          <a:extLst>
            <a:ext uri="{FF2B5EF4-FFF2-40B4-BE49-F238E27FC236}">
              <a16:creationId xmlns:a16="http://schemas.microsoft.com/office/drawing/2014/main" id="{00000000-0008-0000-0600-0000861087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285750</xdr:colOff>
      <xdr:row>5</xdr:row>
      <xdr:rowOff>142875</xdr:rowOff>
    </xdr:from>
    <xdr:ext cx="6134100" cy="2076450"/>
    <xdr:graphicFrame macro="">
      <xdr:nvGraphicFramePr>
        <xdr:cNvPr id="157248950" name="Chart 14">
          <a:extLst>
            <a:ext uri="{FF2B5EF4-FFF2-40B4-BE49-F238E27FC236}">
              <a16:creationId xmlns:a16="http://schemas.microsoft.com/office/drawing/2014/main" id="{00000000-0008-0000-0700-0000B66D5F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790575</xdr:colOff>
      <xdr:row>5</xdr:row>
      <xdr:rowOff>161925</xdr:rowOff>
    </xdr:from>
    <xdr:ext cx="4457700" cy="2095500"/>
    <xdr:graphicFrame macro="">
      <xdr:nvGraphicFramePr>
        <xdr:cNvPr id="2069034959" name="Chart 15">
          <a:extLst>
            <a:ext uri="{FF2B5EF4-FFF2-40B4-BE49-F238E27FC236}">
              <a16:creationId xmlns:a16="http://schemas.microsoft.com/office/drawing/2014/main" id="{00000000-0008-0000-0700-0000CFF75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285750</xdr:colOff>
      <xdr:row>5</xdr:row>
      <xdr:rowOff>142875</xdr:rowOff>
    </xdr:from>
    <xdr:ext cx="6134100" cy="2076450"/>
    <xdr:graphicFrame macro="">
      <xdr:nvGraphicFramePr>
        <xdr:cNvPr id="1970932082" name="Chart 16">
          <a:extLst>
            <a:ext uri="{FF2B5EF4-FFF2-40B4-BE49-F238E27FC236}">
              <a16:creationId xmlns:a16="http://schemas.microsoft.com/office/drawing/2014/main" id="{00000000-0008-0000-0800-000072097A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790575</xdr:colOff>
      <xdr:row>5</xdr:row>
      <xdr:rowOff>161925</xdr:rowOff>
    </xdr:from>
    <xdr:ext cx="4457700" cy="2095500"/>
    <xdr:graphicFrame macro="">
      <xdr:nvGraphicFramePr>
        <xdr:cNvPr id="2055805609" name="Chart 17">
          <a:extLst>
            <a:ext uri="{FF2B5EF4-FFF2-40B4-BE49-F238E27FC236}">
              <a16:creationId xmlns:a16="http://schemas.microsoft.com/office/drawing/2014/main" id="{00000000-0008-0000-0800-0000A91A89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285750</xdr:colOff>
      <xdr:row>5</xdr:row>
      <xdr:rowOff>142875</xdr:rowOff>
    </xdr:from>
    <xdr:ext cx="6134100" cy="2076450"/>
    <xdr:graphicFrame macro="">
      <xdr:nvGraphicFramePr>
        <xdr:cNvPr id="1415000413" name="Chart 18">
          <a:extLst>
            <a:ext uri="{FF2B5EF4-FFF2-40B4-BE49-F238E27FC236}">
              <a16:creationId xmlns:a16="http://schemas.microsoft.com/office/drawing/2014/main" id="{00000000-0008-0000-0900-00005D3157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790575</xdr:colOff>
      <xdr:row>5</xdr:row>
      <xdr:rowOff>161925</xdr:rowOff>
    </xdr:from>
    <xdr:ext cx="4457700" cy="2095500"/>
    <xdr:graphicFrame macro="">
      <xdr:nvGraphicFramePr>
        <xdr:cNvPr id="441699071" name="Chart 19">
          <a:extLst>
            <a:ext uri="{FF2B5EF4-FFF2-40B4-BE49-F238E27FC236}">
              <a16:creationId xmlns:a16="http://schemas.microsoft.com/office/drawing/2014/main" id="{00000000-0008-0000-0900-0000FFCA53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285750</xdr:colOff>
      <xdr:row>5</xdr:row>
      <xdr:rowOff>142875</xdr:rowOff>
    </xdr:from>
    <xdr:ext cx="6134100" cy="2076450"/>
    <xdr:graphicFrame macro="">
      <xdr:nvGraphicFramePr>
        <xdr:cNvPr id="447242315" name="Chart 20">
          <a:extLst>
            <a:ext uri="{FF2B5EF4-FFF2-40B4-BE49-F238E27FC236}">
              <a16:creationId xmlns:a16="http://schemas.microsoft.com/office/drawing/2014/main" id="{00000000-0008-0000-0A00-00004B60A8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790575</xdr:colOff>
      <xdr:row>5</xdr:row>
      <xdr:rowOff>161925</xdr:rowOff>
    </xdr:from>
    <xdr:ext cx="4457700" cy="2095500"/>
    <xdr:graphicFrame macro="">
      <xdr:nvGraphicFramePr>
        <xdr:cNvPr id="870306322" name="Chart 21">
          <a:extLst>
            <a:ext uri="{FF2B5EF4-FFF2-40B4-BE49-F238E27FC236}">
              <a16:creationId xmlns:a16="http://schemas.microsoft.com/office/drawing/2014/main" id="{00000000-0008-0000-0A00-000012D2DF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285750</xdr:colOff>
      <xdr:row>5</xdr:row>
      <xdr:rowOff>142875</xdr:rowOff>
    </xdr:from>
    <xdr:ext cx="6134100" cy="2076450"/>
    <xdr:graphicFrame macro="">
      <xdr:nvGraphicFramePr>
        <xdr:cNvPr id="1750775472" name="Chart 22">
          <a:extLst>
            <a:ext uri="{FF2B5EF4-FFF2-40B4-BE49-F238E27FC236}">
              <a16:creationId xmlns:a16="http://schemas.microsoft.com/office/drawing/2014/main" id="{00000000-0008-0000-0B00-0000B0B65A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790575</xdr:colOff>
      <xdr:row>5</xdr:row>
      <xdr:rowOff>161925</xdr:rowOff>
    </xdr:from>
    <xdr:ext cx="4457700" cy="2095500"/>
    <xdr:graphicFrame macro="">
      <xdr:nvGraphicFramePr>
        <xdr:cNvPr id="2125516640" name="Chart 23">
          <a:extLst>
            <a:ext uri="{FF2B5EF4-FFF2-40B4-BE49-F238E27FC236}">
              <a16:creationId xmlns:a16="http://schemas.microsoft.com/office/drawing/2014/main" id="{00000000-0008-0000-0B00-000060CFB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285750</xdr:colOff>
      <xdr:row>5</xdr:row>
      <xdr:rowOff>142875</xdr:rowOff>
    </xdr:from>
    <xdr:ext cx="6134100" cy="2076450"/>
    <xdr:graphicFrame macro="">
      <xdr:nvGraphicFramePr>
        <xdr:cNvPr id="1436648485" name="Chart 24">
          <a:extLst>
            <a:ext uri="{FF2B5EF4-FFF2-40B4-BE49-F238E27FC236}">
              <a16:creationId xmlns:a16="http://schemas.microsoft.com/office/drawing/2014/main" id="{00000000-0008-0000-0C00-00002584A1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790575</xdr:colOff>
      <xdr:row>5</xdr:row>
      <xdr:rowOff>161925</xdr:rowOff>
    </xdr:from>
    <xdr:ext cx="4457700" cy="2095500"/>
    <xdr:graphicFrame macro="">
      <xdr:nvGraphicFramePr>
        <xdr:cNvPr id="236575481" name="Chart 25">
          <a:extLst>
            <a:ext uri="{FF2B5EF4-FFF2-40B4-BE49-F238E27FC236}">
              <a16:creationId xmlns:a16="http://schemas.microsoft.com/office/drawing/2014/main" id="{00000000-0008-0000-0C00-0000F9DA19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285750</xdr:colOff>
      <xdr:row>5</xdr:row>
      <xdr:rowOff>142875</xdr:rowOff>
    </xdr:from>
    <xdr:ext cx="6134100" cy="2076450"/>
    <xdr:graphicFrame macro="">
      <xdr:nvGraphicFramePr>
        <xdr:cNvPr id="2022310744" name="Chart 26">
          <a:extLst>
            <a:ext uri="{FF2B5EF4-FFF2-40B4-BE49-F238E27FC236}">
              <a16:creationId xmlns:a16="http://schemas.microsoft.com/office/drawing/2014/main" id="{00000000-0008-0000-0D00-000058038A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13</xdr:col>
      <xdr:colOff>790575</xdr:colOff>
      <xdr:row>5</xdr:row>
      <xdr:rowOff>161925</xdr:rowOff>
    </xdr:from>
    <xdr:ext cx="4457700" cy="2095500"/>
    <xdr:graphicFrame macro="">
      <xdr:nvGraphicFramePr>
        <xdr:cNvPr id="1189514674" name="Chart 27">
          <a:extLst>
            <a:ext uri="{FF2B5EF4-FFF2-40B4-BE49-F238E27FC236}">
              <a16:creationId xmlns:a16="http://schemas.microsoft.com/office/drawing/2014/main" id="{00000000-0008-0000-0D00-0000B28DE6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2:D38">
  <tableColumns count="3">
    <tableColumn id="1" xr3:uid="{00000000-0010-0000-0000-000001000000}" name="Details"/>
    <tableColumn id="2" xr3:uid="{00000000-0010-0000-0000-000002000000}" name="Planned"/>
    <tableColumn id="3" xr3:uid="{00000000-0010-0000-0000-000003000000}" name="Actual"/>
  </tableColumns>
  <tableStyleInfo name="JA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F22:I38">
  <tableColumns count="4">
    <tableColumn id="1" xr3:uid="{00000000-0010-0000-0100-000001000000}" name="Details"/>
    <tableColumn id="2" xr3:uid="{00000000-0010-0000-0100-000002000000}" name="Planned"/>
    <tableColumn id="3" xr3:uid="{00000000-0010-0000-0100-000003000000}" name="Actual"/>
    <tableColumn id="4" xr3:uid="{00000000-0010-0000-0100-000004000000}" name="Variance"/>
  </tableColumns>
  <tableStyleInfo name="JAN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K22:N38">
  <tableColumns count="4">
    <tableColumn id="1" xr3:uid="{00000000-0010-0000-0200-000001000000}" name="Details"/>
    <tableColumn id="2" xr3:uid="{00000000-0010-0000-0200-000002000000}" name="Planned"/>
    <tableColumn id="3" xr3:uid="{00000000-0010-0000-0200-000003000000}" name="Actual"/>
    <tableColumn id="4" xr3:uid="{00000000-0010-0000-0200-000004000000}" name="Variance"/>
  </tableColumns>
  <tableStyleInfo name="JAN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P22:S38">
  <tableColumns count="4">
    <tableColumn id="1" xr3:uid="{00000000-0010-0000-0300-000001000000}" name="Details"/>
    <tableColumn id="2" xr3:uid="{00000000-0010-0000-0300-000002000000}" name="Planned"/>
    <tableColumn id="3" xr3:uid="{00000000-0010-0000-0300-000003000000}" name="Actual"/>
    <tableColumn id="4" xr3:uid="{00000000-0010-0000-0300-000004000000}" name="Variance"/>
  </tableColumns>
  <tableStyleInfo name="JAN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U22:X38">
  <tableColumns count="4">
    <tableColumn id="1" xr3:uid="{00000000-0010-0000-0400-000001000000}" name="Details"/>
    <tableColumn id="2" xr3:uid="{00000000-0010-0000-0400-000002000000}" name="Planned"/>
    <tableColumn id="3" xr3:uid="{00000000-0010-0000-0400-000003000000}" name="Actual"/>
    <tableColumn id="4" xr3:uid="{00000000-0010-0000-0400-000004000000}" name="Variance"/>
  </tableColumns>
  <tableStyleInfo name="JAN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B22:D38">
  <tableColumns count="3">
    <tableColumn id="1" xr3:uid="{00000000-0010-0000-0500-000001000000}" name="Details"/>
    <tableColumn id="2" xr3:uid="{00000000-0010-0000-0500-000002000000}" name="Planned"/>
    <tableColumn id="3" xr3:uid="{00000000-0010-0000-0500-000003000000}" name="Actual"/>
  </tableColumns>
  <tableStyleInfo name="FEB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22:I38">
  <tableColumns count="4">
    <tableColumn id="1" xr3:uid="{00000000-0010-0000-0600-000001000000}" name="Details"/>
    <tableColumn id="2" xr3:uid="{00000000-0010-0000-0600-000002000000}" name="Planned"/>
    <tableColumn id="3" xr3:uid="{00000000-0010-0000-0600-000003000000}" name="Actual"/>
    <tableColumn id="4" xr3:uid="{00000000-0010-0000-0600-000004000000}" name="Variance"/>
  </tableColumns>
  <tableStyleInfo name="FEB-style 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K22:N38">
  <tableColumns count="4">
    <tableColumn id="1" xr3:uid="{00000000-0010-0000-0700-000001000000}" name="Details"/>
    <tableColumn id="2" xr3:uid="{00000000-0010-0000-0700-000002000000}" name="Planned"/>
    <tableColumn id="3" xr3:uid="{00000000-0010-0000-0700-000003000000}" name="Actual"/>
    <tableColumn id="4" xr3:uid="{00000000-0010-0000-0700-000004000000}" name="Variance"/>
  </tableColumns>
  <tableStyleInfo name="FEB-style 3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P22:S38">
  <tableColumns count="4">
    <tableColumn id="1" xr3:uid="{00000000-0010-0000-0800-000001000000}" name="Details"/>
    <tableColumn id="2" xr3:uid="{00000000-0010-0000-0800-000002000000}" name="Planned"/>
    <tableColumn id="3" xr3:uid="{00000000-0010-0000-0800-000003000000}" name="Actual"/>
    <tableColumn id="4" xr3:uid="{00000000-0010-0000-0800-000004000000}" name="Variance"/>
  </tableColumns>
  <tableStyleInfo name="FEB-style 4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U22:X38">
  <tableColumns count="4">
    <tableColumn id="1" xr3:uid="{00000000-0010-0000-0900-000001000000}" name="Details"/>
    <tableColumn id="2" xr3:uid="{00000000-0010-0000-0900-000002000000}" name="Planned"/>
    <tableColumn id="3" xr3:uid="{00000000-0010-0000-0900-000003000000}" name="Actual"/>
    <tableColumn id="4" xr3:uid="{00000000-0010-0000-0900-000004000000}" name="Variance"/>
  </tableColumns>
  <tableStyleInfo name="FEB-style 5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B22:D38">
  <tableColumns count="3">
    <tableColumn id="1" xr3:uid="{00000000-0010-0000-0A00-000001000000}" name="Details"/>
    <tableColumn id="2" xr3:uid="{00000000-0010-0000-0A00-000002000000}" name="Planned"/>
    <tableColumn id="3" xr3:uid="{00000000-0010-0000-0A00-000003000000}" name="Actual"/>
  </tableColumns>
  <tableStyleInfo name="APR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F22:I38">
  <tableColumns count="4">
    <tableColumn id="1" xr3:uid="{00000000-0010-0000-0B00-000001000000}" name="Details"/>
    <tableColumn id="2" xr3:uid="{00000000-0010-0000-0B00-000002000000}" name="Planned"/>
    <tableColumn id="3" xr3:uid="{00000000-0010-0000-0B00-000003000000}" name="Actual"/>
    <tableColumn id="4" xr3:uid="{00000000-0010-0000-0B00-000004000000}" name="Variance"/>
  </tableColumns>
  <tableStyleInfo name="APR-style 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able_13" displayName="Table_13" ref="K22:N38">
  <tableColumns count="4">
    <tableColumn id="1" xr3:uid="{00000000-0010-0000-0C00-000001000000}" name="Details"/>
    <tableColumn id="2" xr3:uid="{00000000-0010-0000-0C00-000002000000}" name="Planned"/>
    <tableColumn id="3" xr3:uid="{00000000-0010-0000-0C00-000003000000}" name="Actual"/>
    <tableColumn id="4" xr3:uid="{00000000-0010-0000-0C00-000004000000}" name="Variance"/>
  </tableColumns>
  <tableStyleInfo name="APR-style 3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able_14" displayName="Table_14" ref="P22:S38">
  <tableColumns count="4">
    <tableColumn id="1" xr3:uid="{00000000-0010-0000-0D00-000001000000}" name="Details"/>
    <tableColumn id="2" xr3:uid="{00000000-0010-0000-0D00-000002000000}" name="Planned"/>
    <tableColumn id="3" xr3:uid="{00000000-0010-0000-0D00-000003000000}" name="Actual"/>
    <tableColumn id="4" xr3:uid="{00000000-0010-0000-0D00-000004000000}" name="Variance"/>
  </tableColumns>
  <tableStyleInfo name="APR-style 4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able_15" displayName="Table_15" ref="U22:X38">
  <tableColumns count="4">
    <tableColumn id="1" xr3:uid="{00000000-0010-0000-0E00-000001000000}" name="Details"/>
    <tableColumn id="2" xr3:uid="{00000000-0010-0000-0E00-000002000000}" name="Planned"/>
    <tableColumn id="3" xr3:uid="{00000000-0010-0000-0E00-000003000000}" name="Actual"/>
    <tableColumn id="4" xr3:uid="{00000000-0010-0000-0E00-000004000000}" name="Variance"/>
  </tableColumns>
  <tableStyleInfo name="APR-style 5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able_16" displayName="Table_16" ref="B22:D38">
  <tableColumns count="3">
    <tableColumn id="1" xr3:uid="{00000000-0010-0000-0F00-000001000000}" name="Details"/>
    <tableColumn id="2" xr3:uid="{00000000-0010-0000-0F00-000002000000}" name="Planned"/>
    <tableColumn id="3" xr3:uid="{00000000-0010-0000-0F00-000003000000}" name="Actual"/>
  </tableColumns>
  <tableStyleInfo name="MAY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able_17" displayName="Table_17" ref="F22:I38">
  <tableColumns count="4">
    <tableColumn id="1" xr3:uid="{00000000-0010-0000-1000-000001000000}" name="Details"/>
    <tableColumn id="2" xr3:uid="{00000000-0010-0000-1000-000002000000}" name="Planned"/>
    <tableColumn id="3" xr3:uid="{00000000-0010-0000-1000-000003000000}" name="Actual"/>
    <tableColumn id="4" xr3:uid="{00000000-0010-0000-1000-000004000000}" name="Variance"/>
  </tableColumns>
  <tableStyleInfo name="MAY-style 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able_18" displayName="Table_18" ref="K22:N38">
  <tableColumns count="4">
    <tableColumn id="1" xr3:uid="{00000000-0010-0000-1100-000001000000}" name="Details"/>
    <tableColumn id="2" xr3:uid="{00000000-0010-0000-1100-000002000000}" name="Planned"/>
    <tableColumn id="3" xr3:uid="{00000000-0010-0000-1100-000003000000}" name="Actual"/>
    <tableColumn id="4" xr3:uid="{00000000-0010-0000-1100-000004000000}" name="Variance"/>
  </tableColumns>
  <tableStyleInfo name="MAY-style 3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able_19" displayName="Table_19" ref="P22:S38">
  <tableColumns count="4">
    <tableColumn id="1" xr3:uid="{00000000-0010-0000-1200-000001000000}" name="Details"/>
    <tableColumn id="2" xr3:uid="{00000000-0010-0000-1200-000002000000}" name="Planned"/>
    <tableColumn id="3" xr3:uid="{00000000-0010-0000-1200-000003000000}" name="Actual"/>
    <tableColumn id="4" xr3:uid="{00000000-0010-0000-1200-000004000000}" name="Variance"/>
  </tableColumns>
  <tableStyleInfo name="MAY-style 4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able_20" displayName="Table_20" ref="U22:X38">
  <tableColumns count="4">
    <tableColumn id="1" xr3:uid="{00000000-0010-0000-1300-000001000000}" name="Details"/>
    <tableColumn id="2" xr3:uid="{00000000-0010-0000-1300-000002000000}" name="Planned"/>
    <tableColumn id="3" xr3:uid="{00000000-0010-0000-1300-000003000000}" name="Actual"/>
    <tableColumn id="4" xr3:uid="{00000000-0010-0000-1300-000004000000}" name="Variance"/>
  </tableColumns>
  <tableStyleInfo name="MAY-style 5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able_21" displayName="Table_21" ref="B22:D38">
  <tableColumns count="3">
    <tableColumn id="1" xr3:uid="{00000000-0010-0000-1400-000001000000}" name="Details"/>
    <tableColumn id="2" xr3:uid="{00000000-0010-0000-1400-000002000000}" name="Planned"/>
    <tableColumn id="3" xr3:uid="{00000000-0010-0000-1400-000003000000}" name="Actual"/>
  </tableColumns>
  <tableStyleInfo name="JUN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able_22" displayName="Table_22" ref="F22:I38">
  <tableColumns count="4">
    <tableColumn id="1" xr3:uid="{00000000-0010-0000-1500-000001000000}" name="Details"/>
    <tableColumn id="2" xr3:uid="{00000000-0010-0000-1500-000002000000}" name="Planned"/>
    <tableColumn id="3" xr3:uid="{00000000-0010-0000-1500-000003000000}" name="Actual"/>
    <tableColumn id="4" xr3:uid="{00000000-0010-0000-1500-000004000000}" name="Variance"/>
  </tableColumns>
  <tableStyleInfo name="JUN-style 2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able_23" displayName="Table_23" ref="K22:N38">
  <tableColumns count="4">
    <tableColumn id="1" xr3:uid="{00000000-0010-0000-1600-000001000000}" name="Details"/>
    <tableColumn id="2" xr3:uid="{00000000-0010-0000-1600-000002000000}" name="Planned"/>
    <tableColumn id="3" xr3:uid="{00000000-0010-0000-1600-000003000000}" name="Actual"/>
    <tableColumn id="4" xr3:uid="{00000000-0010-0000-1600-000004000000}" name="Variance"/>
  </tableColumns>
  <tableStyleInfo name="JUN-style 3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able_24" displayName="Table_24" ref="P22:S38">
  <tableColumns count="4">
    <tableColumn id="1" xr3:uid="{00000000-0010-0000-1700-000001000000}" name="Details"/>
    <tableColumn id="2" xr3:uid="{00000000-0010-0000-1700-000002000000}" name="Planned"/>
    <tableColumn id="3" xr3:uid="{00000000-0010-0000-1700-000003000000}" name="Actual"/>
    <tableColumn id="4" xr3:uid="{00000000-0010-0000-1700-000004000000}" name="Variance"/>
  </tableColumns>
  <tableStyleInfo name="JUN-style 4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able_25" displayName="Table_25" ref="U22:X38">
  <tableColumns count="4">
    <tableColumn id="1" xr3:uid="{00000000-0010-0000-1800-000001000000}" name="Details"/>
    <tableColumn id="2" xr3:uid="{00000000-0010-0000-1800-000002000000}" name="Planned"/>
    <tableColumn id="3" xr3:uid="{00000000-0010-0000-1800-000003000000}" name="Actual"/>
    <tableColumn id="4" xr3:uid="{00000000-0010-0000-1800-000004000000}" name="Variance"/>
  </tableColumns>
  <tableStyleInfo name="JUN-style 5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able_26" displayName="Table_26" ref="B22:D38">
  <tableColumns count="3">
    <tableColumn id="1" xr3:uid="{00000000-0010-0000-1900-000001000000}" name="Details"/>
    <tableColumn id="2" xr3:uid="{00000000-0010-0000-1900-000002000000}" name="Planned"/>
    <tableColumn id="3" xr3:uid="{00000000-0010-0000-1900-000003000000}" name="Actual"/>
  </tableColumns>
  <tableStyleInfo name="JUL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able_27" displayName="Table_27" ref="F22:I38">
  <tableColumns count="4">
    <tableColumn id="1" xr3:uid="{00000000-0010-0000-1A00-000001000000}" name="Details"/>
    <tableColumn id="2" xr3:uid="{00000000-0010-0000-1A00-000002000000}" name="Planned"/>
    <tableColumn id="3" xr3:uid="{00000000-0010-0000-1A00-000003000000}" name="Actual"/>
    <tableColumn id="4" xr3:uid="{00000000-0010-0000-1A00-000004000000}" name="Variance"/>
  </tableColumns>
  <tableStyleInfo name="JUL-style 2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able_28" displayName="Table_28" ref="K22:N38">
  <tableColumns count="4">
    <tableColumn id="1" xr3:uid="{00000000-0010-0000-1B00-000001000000}" name="Details"/>
    <tableColumn id="2" xr3:uid="{00000000-0010-0000-1B00-000002000000}" name="Planned"/>
    <tableColumn id="3" xr3:uid="{00000000-0010-0000-1B00-000003000000}" name="Actual"/>
    <tableColumn id="4" xr3:uid="{00000000-0010-0000-1B00-000004000000}" name="Variance"/>
  </tableColumns>
  <tableStyleInfo name="JUL-style 3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able_29" displayName="Table_29" ref="P22:S38">
  <tableColumns count="4">
    <tableColumn id="1" xr3:uid="{00000000-0010-0000-1C00-000001000000}" name="Details"/>
    <tableColumn id="2" xr3:uid="{00000000-0010-0000-1C00-000002000000}" name="Planned"/>
    <tableColumn id="3" xr3:uid="{00000000-0010-0000-1C00-000003000000}" name="Actual"/>
    <tableColumn id="4" xr3:uid="{00000000-0010-0000-1C00-000004000000}" name="Variance"/>
  </tableColumns>
  <tableStyleInfo name="JUL-style 4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Table_30" displayName="Table_30" ref="U22:X38">
  <tableColumns count="4">
    <tableColumn id="1" xr3:uid="{00000000-0010-0000-1D00-000001000000}" name="Details"/>
    <tableColumn id="2" xr3:uid="{00000000-0010-0000-1D00-000002000000}" name="Planned"/>
    <tableColumn id="3" xr3:uid="{00000000-0010-0000-1D00-000003000000}" name="Actual"/>
    <tableColumn id="4" xr3:uid="{00000000-0010-0000-1D00-000004000000}" name="Variance"/>
  </tableColumns>
  <tableStyleInfo name="JUL-style 5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Table_31" displayName="Table_31" ref="B22:D38">
  <tableColumns count="3">
    <tableColumn id="1" xr3:uid="{00000000-0010-0000-1E00-000001000000}" name="Details"/>
    <tableColumn id="2" xr3:uid="{00000000-0010-0000-1E00-000002000000}" name="Planned"/>
    <tableColumn id="3" xr3:uid="{00000000-0010-0000-1E00-000003000000}" name="Actual"/>
  </tableColumns>
  <tableStyleInfo name="MAR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Table_32" displayName="Table_32" ref="F22:I38">
  <tableColumns count="4">
    <tableColumn id="1" xr3:uid="{00000000-0010-0000-1F00-000001000000}" name="Details"/>
    <tableColumn id="2" xr3:uid="{00000000-0010-0000-1F00-000002000000}" name="Planned"/>
    <tableColumn id="3" xr3:uid="{00000000-0010-0000-1F00-000003000000}" name="Actual"/>
    <tableColumn id="4" xr3:uid="{00000000-0010-0000-1F00-000004000000}" name="Variance"/>
  </tableColumns>
  <tableStyleInfo name="MAR-style 2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Table_33" displayName="Table_33" ref="K22:N38">
  <tableColumns count="4">
    <tableColumn id="1" xr3:uid="{00000000-0010-0000-2000-000001000000}" name="Details"/>
    <tableColumn id="2" xr3:uid="{00000000-0010-0000-2000-000002000000}" name="Planned"/>
    <tableColumn id="3" xr3:uid="{00000000-0010-0000-2000-000003000000}" name="Actual"/>
    <tableColumn id="4" xr3:uid="{00000000-0010-0000-2000-000004000000}" name="Variance"/>
  </tableColumns>
  <tableStyleInfo name="MAR-style 3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Table_34" displayName="Table_34" ref="P22:S38">
  <tableColumns count="4">
    <tableColumn id="1" xr3:uid="{00000000-0010-0000-2100-000001000000}" name="Details"/>
    <tableColumn id="2" xr3:uid="{00000000-0010-0000-2100-000002000000}" name="Planned"/>
    <tableColumn id="3" xr3:uid="{00000000-0010-0000-2100-000003000000}" name="Actual"/>
    <tableColumn id="4" xr3:uid="{00000000-0010-0000-2100-000004000000}" name="Variance"/>
  </tableColumns>
  <tableStyleInfo name="MAR-style 4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Table_35" displayName="Table_35" ref="U22:X38">
  <tableColumns count="4">
    <tableColumn id="1" xr3:uid="{00000000-0010-0000-2200-000001000000}" name="Details"/>
    <tableColumn id="2" xr3:uid="{00000000-0010-0000-2200-000002000000}" name="Planned"/>
    <tableColumn id="3" xr3:uid="{00000000-0010-0000-2200-000003000000}" name="Actual"/>
    <tableColumn id="4" xr3:uid="{00000000-0010-0000-2200-000004000000}" name="Variance"/>
  </tableColumns>
  <tableStyleInfo name="MAR-style 5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Table_36" displayName="Table_36" ref="B22:D38">
  <tableColumns count="3">
    <tableColumn id="1" xr3:uid="{00000000-0010-0000-2300-000001000000}" name="Details"/>
    <tableColumn id="2" xr3:uid="{00000000-0010-0000-2300-000002000000}" name="Planned"/>
    <tableColumn id="3" xr3:uid="{00000000-0010-0000-2300-000003000000}" name="Actual"/>
  </tableColumns>
  <tableStyleInfo name="AUG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Table_37" displayName="Table_37" ref="F22:I38">
  <tableColumns count="4">
    <tableColumn id="1" xr3:uid="{00000000-0010-0000-2400-000001000000}" name="Details"/>
    <tableColumn id="2" xr3:uid="{00000000-0010-0000-2400-000002000000}" name="Planned"/>
    <tableColumn id="3" xr3:uid="{00000000-0010-0000-2400-000003000000}" name="Actual"/>
    <tableColumn id="4" xr3:uid="{00000000-0010-0000-2400-000004000000}" name="Variance"/>
  </tableColumns>
  <tableStyleInfo name="AUG-style 2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Table_38" displayName="Table_38" ref="K22:N38">
  <tableColumns count="4">
    <tableColumn id="1" xr3:uid="{00000000-0010-0000-2500-000001000000}" name="Details"/>
    <tableColumn id="2" xr3:uid="{00000000-0010-0000-2500-000002000000}" name="Planned"/>
    <tableColumn id="3" xr3:uid="{00000000-0010-0000-2500-000003000000}" name="Actual"/>
    <tableColumn id="4" xr3:uid="{00000000-0010-0000-2500-000004000000}" name="Variance"/>
  </tableColumns>
  <tableStyleInfo name="AUG-style 3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Table_39" displayName="Table_39" ref="P22:S38">
  <tableColumns count="4">
    <tableColumn id="1" xr3:uid="{00000000-0010-0000-2600-000001000000}" name="Details"/>
    <tableColumn id="2" xr3:uid="{00000000-0010-0000-2600-000002000000}" name="Planned"/>
    <tableColumn id="3" xr3:uid="{00000000-0010-0000-2600-000003000000}" name="Actual"/>
    <tableColumn id="4" xr3:uid="{00000000-0010-0000-2600-000004000000}" name="Variance"/>
  </tableColumns>
  <tableStyleInfo name="AUG-style 4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Table_40" displayName="Table_40" ref="U22:X38">
  <tableColumns count="4">
    <tableColumn id="1" xr3:uid="{00000000-0010-0000-2700-000001000000}" name="Details"/>
    <tableColumn id="2" xr3:uid="{00000000-0010-0000-2700-000002000000}" name="Planned"/>
    <tableColumn id="3" xr3:uid="{00000000-0010-0000-2700-000003000000}" name="Actual"/>
    <tableColumn id="4" xr3:uid="{00000000-0010-0000-2700-000004000000}" name="Variance"/>
  </tableColumns>
  <tableStyleInfo name="AUG-style 5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Table_41" displayName="Table_41" ref="B22:D38">
  <tableColumns count="3">
    <tableColumn id="1" xr3:uid="{00000000-0010-0000-2800-000001000000}" name="Details"/>
    <tableColumn id="2" xr3:uid="{00000000-0010-0000-2800-000002000000}" name="Planned"/>
    <tableColumn id="3" xr3:uid="{00000000-0010-0000-2800-000003000000}" name="Actual"/>
  </tableColumns>
  <tableStyleInfo name="SEPT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Table_42" displayName="Table_42" ref="F22:I38">
  <tableColumns count="4">
    <tableColumn id="1" xr3:uid="{00000000-0010-0000-2900-000001000000}" name="Details"/>
    <tableColumn id="2" xr3:uid="{00000000-0010-0000-2900-000002000000}" name="Planned"/>
    <tableColumn id="3" xr3:uid="{00000000-0010-0000-2900-000003000000}" name="Actual"/>
    <tableColumn id="4" xr3:uid="{00000000-0010-0000-2900-000004000000}" name="Variance"/>
  </tableColumns>
  <tableStyleInfo name="SEPT-style 2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Table_43" displayName="Table_43" ref="K22:N38">
  <tableColumns count="4">
    <tableColumn id="1" xr3:uid="{00000000-0010-0000-2A00-000001000000}" name="Details"/>
    <tableColumn id="2" xr3:uid="{00000000-0010-0000-2A00-000002000000}" name="Planned"/>
    <tableColumn id="3" xr3:uid="{00000000-0010-0000-2A00-000003000000}" name="Actual"/>
    <tableColumn id="4" xr3:uid="{00000000-0010-0000-2A00-000004000000}" name="Variance"/>
  </tableColumns>
  <tableStyleInfo name="SEPT-style 3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Table_44" displayName="Table_44" ref="P22:S38">
  <tableColumns count="4">
    <tableColumn id="1" xr3:uid="{00000000-0010-0000-2B00-000001000000}" name="Details"/>
    <tableColumn id="2" xr3:uid="{00000000-0010-0000-2B00-000002000000}" name="Planned"/>
    <tableColumn id="3" xr3:uid="{00000000-0010-0000-2B00-000003000000}" name="Actual"/>
    <tableColumn id="4" xr3:uid="{00000000-0010-0000-2B00-000004000000}" name="Variance"/>
  </tableColumns>
  <tableStyleInfo name="SEPT-style 4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Table_45" displayName="Table_45" ref="U22:X38">
  <tableColumns count="4">
    <tableColumn id="1" xr3:uid="{00000000-0010-0000-2C00-000001000000}" name="Details"/>
    <tableColumn id="2" xr3:uid="{00000000-0010-0000-2C00-000002000000}" name="Planned"/>
    <tableColumn id="3" xr3:uid="{00000000-0010-0000-2C00-000003000000}" name="Actual"/>
    <tableColumn id="4" xr3:uid="{00000000-0010-0000-2C00-000004000000}" name="Variance"/>
  </tableColumns>
  <tableStyleInfo name="SEPT-style 5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Table_46" displayName="Table_46" ref="B22:D38">
  <tableColumns count="3">
    <tableColumn id="1" xr3:uid="{00000000-0010-0000-2D00-000001000000}" name="Details"/>
    <tableColumn id="2" xr3:uid="{00000000-0010-0000-2D00-000002000000}" name="Planned"/>
    <tableColumn id="3" xr3:uid="{00000000-0010-0000-2D00-000003000000}" name="Actual"/>
  </tableColumns>
  <tableStyleInfo name="OCT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Table_47" displayName="Table_47" ref="F22:I38">
  <tableColumns count="4">
    <tableColumn id="1" xr3:uid="{00000000-0010-0000-2E00-000001000000}" name="Details"/>
    <tableColumn id="2" xr3:uid="{00000000-0010-0000-2E00-000002000000}" name="Planned"/>
    <tableColumn id="3" xr3:uid="{00000000-0010-0000-2E00-000003000000}" name="Actual"/>
    <tableColumn id="4" xr3:uid="{00000000-0010-0000-2E00-000004000000}" name="Variance"/>
  </tableColumns>
  <tableStyleInfo name="OCT-style 2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Table_48" displayName="Table_48" ref="K22:N38">
  <tableColumns count="4">
    <tableColumn id="1" xr3:uid="{00000000-0010-0000-2F00-000001000000}" name="Details"/>
    <tableColumn id="2" xr3:uid="{00000000-0010-0000-2F00-000002000000}" name="Planned"/>
    <tableColumn id="3" xr3:uid="{00000000-0010-0000-2F00-000003000000}" name="Actual"/>
    <tableColumn id="4" xr3:uid="{00000000-0010-0000-2F00-000004000000}" name="Variance"/>
  </tableColumns>
  <tableStyleInfo name="OCT-style 3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Table_49" displayName="Table_49" ref="P22:S38">
  <tableColumns count="4">
    <tableColumn id="1" xr3:uid="{00000000-0010-0000-3000-000001000000}" name="Details"/>
    <tableColumn id="2" xr3:uid="{00000000-0010-0000-3000-000002000000}" name="Planned"/>
    <tableColumn id="3" xr3:uid="{00000000-0010-0000-3000-000003000000}" name="Actual"/>
    <tableColumn id="4" xr3:uid="{00000000-0010-0000-3000-000004000000}" name="Variance"/>
  </tableColumns>
  <tableStyleInfo name="OCT-style 4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Table_50" displayName="Table_50" ref="U22:X38">
  <tableColumns count="4">
    <tableColumn id="1" xr3:uid="{00000000-0010-0000-3100-000001000000}" name="Details"/>
    <tableColumn id="2" xr3:uid="{00000000-0010-0000-3100-000002000000}" name="Planned"/>
    <tableColumn id="3" xr3:uid="{00000000-0010-0000-3100-000003000000}" name="Actual"/>
    <tableColumn id="4" xr3:uid="{00000000-0010-0000-3100-000004000000}" name="Variance"/>
  </tableColumns>
  <tableStyleInfo name="OCT-style 5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Table_51" displayName="Table_51" ref="B22:D38">
  <tableColumns count="3">
    <tableColumn id="1" xr3:uid="{00000000-0010-0000-3200-000001000000}" name="Details"/>
    <tableColumn id="2" xr3:uid="{00000000-0010-0000-3200-000002000000}" name="Planned"/>
    <tableColumn id="3" xr3:uid="{00000000-0010-0000-3200-000003000000}" name="Actual"/>
  </tableColumns>
  <tableStyleInfo name="NOV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Table_52" displayName="Table_52" ref="F22:I38">
  <tableColumns count="4">
    <tableColumn id="1" xr3:uid="{00000000-0010-0000-3300-000001000000}" name="Details"/>
    <tableColumn id="2" xr3:uid="{00000000-0010-0000-3300-000002000000}" name="Planned"/>
    <tableColumn id="3" xr3:uid="{00000000-0010-0000-3300-000003000000}" name="Actual"/>
    <tableColumn id="4" xr3:uid="{00000000-0010-0000-3300-000004000000}" name="Variance"/>
  </tableColumns>
  <tableStyleInfo name="NOV-style 2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Table_53" displayName="Table_53" ref="K22:N38">
  <tableColumns count="4">
    <tableColumn id="1" xr3:uid="{00000000-0010-0000-3400-000001000000}" name="Details"/>
    <tableColumn id="2" xr3:uid="{00000000-0010-0000-3400-000002000000}" name="Planned"/>
    <tableColumn id="3" xr3:uid="{00000000-0010-0000-3400-000003000000}" name="Actual"/>
    <tableColumn id="4" xr3:uid="{00000000-0010-0000-3400-000004000000}" name="Variance"/>
  </tableColumns>
  <tableStyleInfo name="NOV-style 3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Table_54" displayName="Table_54" ref="P22:S38">
  <tableColumns count="4">
    <tableColumn id="1" xr3:uid="{00000000-0010-0000-3500-000001000000}" name="Details"/>
    <tableColumn id="2" xr3:uid="{00000000-0010-0000-3500-000002000000}" name="Planned"/>
    <tableColumn id="3" xr3:uid="{00000000-0010-0000-3500-000003000000}" name="Actual"/>
    <tableColumn id="4" xr3:uid="{00000000-0010-0000-3500-000004000000}" name="Variance"/>
  </tableColumns>
  <tableStyleInfo name="NOV-style 4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Table_55" displayName="Table_55" ref="U22:X38">
  <tableColumns count="4">
    <tableColumn id="1" xr3:uid="{00000000-0010-0000-3600-000001000000}" name="Details"/>
    <tableColumn id="2" xr3:uid="{00000000-0010-0000-3600-000002000000}" name="Planned"/>
    <tableColumn id="3" xr3:uid="{00000000-0010-0000-3600-000003000000}" name="Actual"/>
    <tableColumn id="4" xr3:uid="{00000000-0010-0000-3600-000004000000}" name="Variance"/>
  </tableColumns>
  <tableStyleInfo name="NOV-style 5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Table_56" displayName="Table_56" ref="B22:D38">
  <tableColumns count="3">
    <tableColumn id="1" xr3:uid="{00000000-0010-0000-3700-000001000000}" name="Details"/>
    <tableColumn id="2" xr3:uid="{00000000-0010-0000-3700-000002000000}" name="Planned"/>
    <tableColumn id="3" xr3:uid="{00000000-0010-0000-3700-000003000000}" name="Actual"/>
  </tableColumns>
  <tableStyleInfo name="DEC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Table_57" displayName="Table_57" ref="F22:I38">
  <tableColumns count="4">
    <tableColumn id="1" xr3:uid="{00000000-0010-0000-3800-000001000000}" name="Details"/>
    <tableColumn id="2" xr3:uid="{00000000-0010-0000-3800-000002000000}" name="Planned"/>
    <tableColumn id="3" xr3:uid="{00000000-0010-0000-3800-000003000000}" name="Actual"/>
    <tableColumn id="4" xr3:uid="{00000000-0010-0000-3800-000004000000}" name="Variance"/>
  </tableColumns>
  <tableStyleInfo name="DEC-style 2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Table_58" displayName="Table_58" ref="K22:N38">
  <tableColumns count="4">
    <tableColumn id="1" xr3:uid="{00000000-0010-0000-3900-000001000000}" name="Details"/>
    <tableColumn id="2" xr3:uid="{00000000-0010-0000-3900-000002000000}" name="Planned"/>
    <tableColumn id="3" xr3:uid="{00000000-0010-0000-3900-000003000000}" name="Actual"/>
    <tableColumn id="4" xr3:uid="{00000000-0010-0000-3900-000004000000}" name="Variance"/>
  </tableColumns>
  <tableStyleInfo name="DEC-style 3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Table_59" displayName="Table_59" ref="P22:S38">
  <tableColumns count="4">
    <tableColumn id="1" xr3:uid="{00000000-0010-0000-3A00-000001000000}" name="Details"/>
    <tableColumn id="2" xr3:uid="{00000000-0010-0000-3A00-000002000000}" name="Planned"/>
    <tableColumn id="3" xr3:uid="{00000000-0010-0000-3A00-000003000000}" name="Actual"/>
    <tableColumn id="4" xr3:uid="{00000000-0010-0000-3A00-000004000000}" name="Variance"/>
  </tableColumns>
  <tableStyleInfo name="DEC-style 4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Table_60" displayName="Table_60" ref="U22:X38">
  <tableColumns count="4">
    <tableColumn id="1" xr3:uid="{00000000-0010-0000-3B00-000001000000}" name="Details"/>
    <tableColumn id="2" xr3:uid="{00000000-0010-0000-3B00-000002000000}" name="Planned"/>
    <tableColumn id="3" xr3:uid="{00000000-0010-0000-3B00-000003000000}" name="Actual"/>
    <tableColumn id="4" xr3:uid="{00000000-0010-0000-3B00-000004000000}" name="Variance"/>
  </tableColumns>
  <tableStyleInfo name="DEC-style 5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drawing" Target="../drawings/drawing3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drawing" Target="../drawings/drawing5.xml"/><Relationship Id="rId6" Type="http://schemas.openxmlformats.org/officeDocument/2006/relationships/table" Target="../tables/table20.xml"/><Relationship Id="rId5" Type="http://schemas.openxmlformats.org/officeDocument/2006/relationships/table" Target="../tables/table19.xml"/><Relationship Id="rId4" Type="http://schemas.openxmlformats.org/officeDocument/2006/relationships/table" Target="../tables/table18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drawing" Target="../drawings/drawing6.xml"/><Relationship Id="rId6" Type="http://schemas.openxmlformats.org/officeDocument/2006/relationships/table" Target="../tables/table25.xml"/><Relationship Id="rId5" Type="http://schemas.openxmlformats.org/officeDocument/2006/relationships/table" Target="../tables/table24.xml"/><Relationship Id="rId4" Type="http://schemas.openxmlformats.org/officeDocument/2006/relationships/table" Target="../tables/table2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drawing" Target="../drawings/drawing7.xml"/><Relationship Id="rId6" Type="http://schemas.openxmlformats.org/officeDocument/2006/relationships/table" Target="../tables/table30.xml"/><Relationship Id="rId5" Type="http://schemas.openxmlformats.org/officeDocument/2006/relationships/table" Target="../tables/table29.xml"/><Relationship Id="rId4" Type="http://schemas.openxmlformats.org/officeDocument/2006/relationships/table" Target="../tables/table2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2.xml"/><Relationship Id="rId2" Type="http://schemas.openxmlformats.org/officeDocument/2006/relationships/table" Target="../tables/table31.xml"/><Relationship Id="rId1" Type="http://schemas.openxmlformats.org/officeDocument/2006/relationships/drawing" Target="../drawings/drawing8.xml"/><Relationship Id="rId6" Type="http://schemas.openxmlformats.org/officeDocument/2006/relationships/table" Target="../tables/table35.xml"/><Relationship Id="rId5" Type="http://schemas.openxmlformats.org/officeDocument/2006/relationships/table" Target="../tables/table34.xml"/><Relationship Id="rId4" Type="http://schemas.openxmlformats.org/officeDocument/2006/relationships/table" Target="../tables/table3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7.xml"/><Relationship Id="rId2" Type="http://schemas.openxmlformats.org/officeDocument/2006/relationships/table" Target="../tables/table36.xml"/><Relationship Id="rId1" Type="http://schemas.openxmlformats.org/officeDocument/2006/relationships/drawing" Target="../drawings/drawing9.xml"/><Relationship Id="rId6" Type="http://schemas.openxmlformats.org/officeDocument/2006/relationships/table" Target="../tables/table40.xml"/><Relationship Id="rId5" Type="http://schemas.openxmlformats.org/officeDocument/2006/relationships/table" Target="../tables/table39.xml"/><Relationship Id="rId4" Type="http://schemas.openxmlformats.org/officeDocument/2006/relationships/table" Target="../tables/table3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2.xml"/><Relationship Id="rId2" Type="http://schemas.openxmlformats.org/officeDocument/2006/relationships/table" Target="../tables/table41.xml"/><Relationship Id="rId1" Type="http://schemas.openxmlformats.org/officeDocument/2006/relationships/drawing" Target="../drawings/drawing10.xml"/><Relationship Id="rId6" Type="http://schemas.openxmlformats.org/officeDocument/2006/relationships/table" Target="../tables/table45.xml"/><Relationship Id="rId5" Type="http://schemas.openxmlformats.org/officeDocument/2006/relationships/table" Target="../tables/table44.xml"/><Relationship Id="rId4" Type="http://schemas.openxmlformats.org/officeDocument/2006/relationships/table" Target="../tables/table4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drawing" Target="../drawings/drawing11.xml"/><Relationship Id="rId6" Type="http://schemas.openxmlformats.org/officeDocument/2006/relationships/table" Target="../tables/table50.xml"/><Relationship Id="rId5" Type="http://schemas.openxmlformats.org/officeDocument/2006/relationships/table" Target="../tables/table49.xml"/><Relationship Id="rId4" Type="http://schemas.openxmlformats.org/officeDocument/2006/relationships/table" Target="../tables/table48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2.xml"/><Relationship Id="rId2" Type="http://schemas.openxmlformats.org/officeDocument/2006/relationships/table" Target="../tables/table51.xml"/><Relationship Id="rId1" Type="http://schemas.openxmlformats.org/officeDocument/2006/relationships/drawing" Target="../drawings/drawing12.xml"/><Relationship Id="rId6" Type="http://schemas.openxmlformats.org/officeDocument/2006/relationships/table" Target="../tables/table55.xml"/><Relationship Id="rId5" Type="http://schemas.openxmlformats.org/officeDocument/2006/relationships/table" Target="../tables/table54.xml"/><Relationship Id="rId4" Type="http://schemas.openxmlformats.org/officeDocument/2006/relationships/table" Target="../tables/table53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7.xml"/><Relationship Id="rId2" Type="http://schemas.openxmlformats.org/officeDocument/2006/relationships/table" Target="../tables/table56.xml"/><Relationship Id="rId1" Type="http://schemas.openxmlformats.org/officeDocument/2006/relationships/drawing" Target="../drawings/drawing13.xml"/><Relationship Id="rId6" Type="http://schemas.openxmlformats.org/officeDocument/2006/relationships/table" Target="../tables/table60.xml"/><Relationship Id="rId5" Type="http://schemas.openxmlformats.org/officeDocument/2006/relationships/table" Target="../tables/table59.xml"/><Relationship Id="rId4" Type="http://schemas.openxmlformats.org/officeDocument/2006/relationships/table" Target="../tables/table5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tabSelected="1" workbookViewId="0">
      <selection activeCell="I7" sqref="I7"/>
    </sheetView>
  </sheetViews>
  <sheetFormatPr defaultColWidth="14.3984375" defaultRowHeight="15" customHeight="1"/>
  <cols>
    <col min="1" max="1" width="3" customWidth="1"/>
    <col min="2" max="2" width="10.53125" customWidth="1"/>
    <col min="3" max="3" width="15.1328125" customWidth="1"/>
    <col min="4" max="4" width="14.86328125" customWidth="1"/>
    <col min="5" max="5" width="15.86328125" customWidth="1"/>
    <col min="6" max="6" width="14.3984375" customWidth="1"/>
    <col min="7" max="7" width="14.86328125" customWidth="1"/>
    <col min="8" max="8" width="21.265625" customWidth="1"/>
    <col min="9" max="9" width="3.1328125" customWidth="1"/>
    <col min="10" max="10" width="8.73046875" customWidth="1"/>
    <col min="11" max="11" width="14.53125" customWidth="1"/>
    <col min="12" max="13" width="8.73046875" customWidth="1"/>
    <col min="14" max="14" width="12.265625" customWidth="1"/>
    <col min="15" max="15" width="8.73046875" customWidth="1"/>
    <col min="16" max="16" width="9.86328125" customWidth="1"/>
    <col min="17" max="17" width="13.73046875" customWidth="1"/>
    <col min="18" max="18" width="8.73046875" customWidth="1"/>
    <col min="19" max="20" width="11.1328125" customWidth="1"/>
    <col min="21" max="21" width="8.73046875" customWidth="1"/>
    <col min="22" max="22" width="10.265625" customWidth="1"/>
    <col min="23" max="23" width="14.53125" customWidth="1"/>
    <col min="24" max="26" width="8.73046875" customWidth="1"/>
  </cols>
  <sheetData>
    <row r="1" spans="2:24" ht="14.25" customHeight="1">
      <c r="X1" s="1"/>
    </row>
    <row r="2" spans="2:24" ht="14.25" customHeight="1">
      <c r="J2" s="24" t="s">
        <v>0</v>
      </c>
      <c r="K2" s="25"/>
      <c r="M2" s="24" t="s">
        <v>1</v>
      </c>
      <c r="N2" s="25"/>
      <c r="P2" s="24" t="s">
        <v>2</v>
      </c>
      <c r="Q2" s="25"/>
      <c r="S2" s="24" t="s">
        <v>3</v>
      </c>
      <c r="T2" s="25"/>
      <c r="V2" s="24" t="s">
        <v>4</v>
      </c>
      <c r="W2" s="25"/>
      <c r="X2" s="1"/>
    </row>
    <row r="3" spans="2:24" ht="14.25" customHeight="1">
      <c r="J3" s="26"/>
      <c r="K3" s="27"/>
      <c r="M3" s="26"/>
      <c r="N3" s="27"/>
      <c r="P3" s="26"/>
      <c r="Q3" s="27"/>
      <c r="S3" s="26"/>
      <c r="T3" s="27"/>
      <c r="V3" s="26"/>
      <c r="W3" s="27"/>
      <c r="X3" s="1"/>
    </row>
    <row r="4" spans="2:24" ht="14.25" customHeight="1">
      <c r="J4" s="28">
        <f>SUM(C6:C17)</f>
        <v>0</v>
      </c>
      <c r="K4" s="25"/>
      <c r="M4" s="28">
        <f>SUM(D6:D17)</f>
        <v>0</v>
      </c>
      <c r="N4" s="25"/>
      <c r="P4" s="28">
        <f>SUM(E6:E17)</f>
        <v>0</v>
      </c>
      <c r="Q4" s="25"/>
      <c r="S4" s="28">
        <f>SUM(F6:F17)</f>
        <v>0</v>
      </c>
      <c r="T4" s="25"/>
      <c r="V4" s="28">
        <f>SUM(G6:G17)</f>
        <v>0</v>
      </c>
      <c r="W4" s="25"/>
      <c r="X4" s="1"/>
    </row>
    <row r="5" spans="2:24" ht="18.75" customHeight="1">
      <c r="B5" s="2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4" t="s">
        <v>11</v>
      </c>
      <c r="J5" s="26"/>
      <c r="K5" s="27"/>
      <c r="M5" s="26"/>
      <c r="N5" s="27"/>
      <c r="P5" s="26"/>
      <c r="Q5" s="27"/>
      <c r="S5" s="26"/>
      <c r="T5" s="27"/>
      <c r="V5" s="26"/>
      <c r="W5" s="27"/>
      <c r="X5" s="1"/>
    </row>
    <row r="6" spans="2:24" ht="18.75" customHeight="1">
      <c r="B6" s="5" t="s">
        <v>12</v>
      </c>
      <c r="C6" s="6">
        <f>SUM(JAN!$D$23:$D$38)</f>
        <v>0</v>
      </c>
      <c r="D6" s="6">
        <f>SUM(JAN!$H$23:$H$38)</f>
        <v>0</v>
      </c>
      <c r="E6" s="6">
        <f>SUM(JAN!$M$23:$M$38)</f>
        <v>0</v>
      </c>
      <c r="F6" s="6">
        <f>SUM(JAN!$R$23:$R$38)</f>
        <v>0</v>
      </c>
      <c r="G6" s="6">
        <f>SUM(JAN!$W$23:$W$38)</f>
        <v>0</v>
      </c>
      <c r="H6" s="7">
        <f t="shared" ref="H6:H18" si="0">SUM(D6:G6)</f>
        <v>0</v>
      </c>
      <c r="X6" s="1"/>
    </row>
    <row r="7" spans="2:24" ht="18.75" customHeight="1">
      <c r="B7" s="5" t="s">
        <v>13</v>
      </c>
      <c r="C7" s="6">
        <f>SUM(FEB!$D$23:$D$38)</f>
        <v>0</v>
      </c>
      <c r="D7" s="6">
        <f>SUM(FEB!$H$23:$H$38)</f>
        <v>0</v>
      </c>
      <c r="E7" s="6">
        <f>SUM(FEB!$M$23:$M$38)</f>
        <v>0</v>
      </c>
      <c r="F7" s="6">
        <f>SUM(FEB!$R$23:$R$38)</f>
        <v>0</v>
      </c>
      <c r="G7" s="6">
        <f>SUM(FEB!$W$23:$W$38)</f>
        <v>0</v>
      </c>
      <c r="H7" s="7">
        <f t="shared" si="0"/>
        <v>0</v>
      </c>
      <c r="X7" s="1"/>
    </row>
    <row r="8" spans="2:24" ht="18.75" customHeight="1">
      <c r="B8" s="5" t="s">
        <v>14</v>
      </c>
      <c r="C8" s="6">
        <f>SUM(MAR!$D$23:$D$38)</f>
        <v>0</v>
      </c>
      <c r="D8" s="6">
        <f>SUM(MAR!$H$23:$H$38)</f>
        <v>0</v>
      </c>
      <c r="E8" s="6">
        <f>SUM(MAR!$M$23:$M$38)</f>
        <v>0</v>
      </c>
      <c r="F8" s="6">
        <f>SUM(MAR!$R$23:$R$38)</f>
        <v>0</v>
      </c>
      <c r="G8" s="6">
        <f>SUM(MAR!$W$23:$W$38)</f>
        <v>0</v>
      </c>
      <c r="H8" s="7">
        <f t="shared" si="0"/>
        <v>0</v>
      </c>
      <c r="X8" s="1"/>
    </row>
    <row r="9" spans="2:24" ht="18.75" customHeight="1">
      <c r="B9" s="5" t="s">
        <v>15</v>
      </c>
      <c r="C9" s="6">
        <f>SUM(APR!$D$23:$D$38)</f>
        <v>0</v>
      </c>
      <c r="D9" s="6">
        <f>SUM(APR!$H$23:$H$38)</f>
        <v>0</v>
      </c>
      <c r="E9" s="6">
        <f>SUM(APR!$M$23:$M$38)</f>
        <v>0</v>
      </c>
      <c r="F9" s="6">
        <f>SUM(APR!$R$23:$R$38)</f>
        <v>0</v>
      </c>
      <c r="G9" s="6">
        <f>SUM(APR!$W$23:$W$38)</f>
        <v>0</v>
      </c>
      <c r="H9" s="7">
        <f t="shared" si="0"/>
        <v>0</v>
      </c>
      <c r="X9" s="1"/>
    </row>
    <row r="10" spans="2:24" ht="18.75" customHeight="1">
      <c r="B10" s="5" t="s">
        <v>16</v>
      </c>
      <c r="C10" s="6">
        <f>SUM(MAY!$D$23:$D$38)</f>
        <v>0</v>
      </c>
      <c r="D10" s="6">
        <f>SUM(MAY!$H$23:$H$38)</f>
        <v>0</v>
      </c>
      <c r="E10" s="6">
        <f>SUM(MAY!$M$23:$M$38)</f>
        <v>0</v>
      </c>
      <c r="F10" s="6">
        <f>SUM(MAY!$R$23:$R$38)</f>
        <v>0</v>
      </c>
      <c r="G10" s="6">
        <f>SUM(MAY!$W$23:$W$38)</f>
        <v>0</v>
      </c>
      <c r="H10" s="7">
        <f t="shared" si="0"/>
        <v>0</v>
      </c>
      <c r="X10" s="1"/>
    </row>
    <row r="11" spans="2:24" ht="18.75" customHeight="1">
      <c r="B11" s="5" t="s">
        <v>17</v>
      </c>
      <c r="C11" s="6">
        <f>SUM(JUN!$D$23:$D$38)</f>
        <v>0</v>
      </c>
      <c r="D11" s="6">
        <f>SUM(JUN!$H$23:$H$38)</f>
        <v>0</v>
      </c>
      <c r="E11" s="6">
        <f>SUM(JUN!$M$23:$M$38)</f>
        <v>0</v>
      </c>
      <c r="F11" s="6">
        <f>SUM(JUN!$R$23:$R$38)</f>
        <v>0</v>
      </c>
      <c r="G11" s="6">
        <f>SUM(JUN!$W$23:$W$38)</f>
        <v>0</v>
      </c>
      <c r="H11" s="7">
        <f t="shared" si="0"/>
        <v>0</v>
      </c>
      <c r="X11" s="1"/>
    </row>
    <row r="12" spans="2:24" ht="18.75" customHeight="1">
      <c r="B12" s="5" t="s">
        <v>18</v>
      </c>
      <c r="C12" s="6">
        <f>SUM(JUL!$D$23:$D$38)</f>
        <v>0</v>
      </c>
      <c r="D12" s="6">
        <f>SUM(JUL!$H$23:$H$38)</f>
        <v>0</v>
      </c>
      <c r="E12" s="6">
        <f>SUM(JUL!$M$23:$M$38)</f>
        <v>0</v>
      </c>
      <c r="F12" s="6">
        <f>SUM(JUL!$R$23:$R$38)</f>
        <v>0</v>
      </c>
      <c r="G12" s="6">
        <f>SUM(JUL!$W$23:$W$38)</f>
        <v>0</v>
      </c>
      <c r="H12" s="7">
        <f t="shared" si="0"/>
        <v>0</v>
      </c>
      <c r="X12" s="1"/>
    </row>
    <row r="13" spans="2:24" ht="18.75" customHeight="1">
      <c r="B13" s="5" t="s">
        <v>19</v>
      </c>
      <c r="C13" s="6">
        <f>SUM(AUG!$D$23:$D$38)</f>
        <v>0</v>
      </c>
      <c r="D13" s="6">
        <f>SUM(AUG!$H$23:$H$38)</f>
        <v>0</v>
      </c>
      <c r="E13" s="6">
        <f>SUM(AUG!$M$23:$M$38)</f>
        <v>0</v>
      </c>
      <c r="F13" s="6">
        <f>SUM(AUG!$R$23:$R$38)</f>
        <v>0</v>
      </c>
      <c r="G13" s="6">
        <f>SUM(AUG!$W$23:$W$38)</f>
        <v>0</v>
      </c>
      <c r="H13" s="7">
        <f t="shared" si="0"/>
        <v>0</v>
      </c>
      <c r="X13" s="1"/>
    </row>
    <row r="14" spans="2:24" ht="18.75" customHeight="1">
      <c r="B14" s="5" t="s">
        <v>20</v>
      </c>
      <c r="C14" s="6">
        <f>SUM(SEPT!$D$23:$D$38)</f>
        <v>0</v>
      </c>
      <c r="D14" s="6">
        <f>SUM(SEPT!$H$23:$H$38)</f>
        <v>0</v>
      </c>
      <c r="E14" s="6">
        <f>SUM(SEPT!$M$23:$M$38)</f>
        <v>0</v>
      </c>
      <c r="F14" s="6">
        <f>SUM(SEPT!$R$23:$R$38)</f>
        <v>0</v>
      </c>
      <c r="G14" s="6">
        <f>SUM(SEPT!$W$23:$W$38)</f>
        <v>0</v>
      </c>
      <c r="H14" s="7">
        <f t="shared" si="0"/>
        <v>0</v>
      </c>
      <c r="X14" s="1"/>
    </row>
    <row r="15" spans="2:24" ht="18.75" customHeight="1">
      <c r="B15" s="5" t="s">
        <v>21</v>
      </c>
      <c r="C15" s="6">
        <f>SUM(OCT!$D$23:$D$38)</f>
        <v>0</v>
      </c>
      <c r="D15" s="6">
        <f>SUM(OCT!$H$23:$H$38)</f>
        <v>0</v>
      </c>
      <c r="E15" s="6">
        <f>SUM(OCT!$M$23:$M$38)</f>
        <v>0</v>
      </c>
      <c r="F15" s="6">
        <f>SUM(OCT!$R$23:$R$38)</f>
        <v>0</v>
      </c>
      <c r="G15" s="6">
        <f>SUM(OCT!$W$23:$W$38)</f>
        <v>0</v>
      </c>
      <c r="H15" s="7">
        <f t="shared" si="0"/>
        <v>0</v>
      </c>
      <c r="X15" s="1"/>
    </row>
    <row r="16" spans="2:24" ht="18.75" customHeight="1">
      <c r="B16" s="5" t="s">
        <v>22</v>
      </c>
      <c r="C16" s="6">
        <f>SUM(NOV!$D$23:$D$38)</f>
        <v>0</v>
      </c>
      <c r="D16" s="6">
        <f>SUM(NOV!$H$23:$H$38)</f>
        <v>0</v>
      </c>
      <c r="E16" s="6">
        <f>SUM(NOV!$M$23:$M$38)</f>
        <v>0</v>
      </c>
      <c r="F16" s="6">
        <f>SUM(NOV!$R$23:$R$38)</f>
        <v>0</v>
      </c>
      <c r="G16" s="6">
        <f>SUM(NOV!$W$23:$W$38)</f>
        <v>0</v>
      </c>
      <c r="H16" s="7">
        <f t="shared" si="0"/>
        <v>0</v>
      </c>
      <c r="X16" s="1"/>
    </row>
    <row r="17" spans="2:24" ht="18.75" customHeight="1">
      <c r="B17" s="5" t="s">
        <v>23</v>
      </c>
      <c r="C17" s="6">
        <f>SUM(DEC!$D$23:$D$38)</f>
        <v>0</v>
      </c>
      <c r="D17" s="6">
        <f>SUM(DEC!$H$23:$H$38)</f>
        <v>0</v>
      </c>
      <c r="E17" s="6">
        <f>SUM(DEC!$M$23:$M$38)</f>
        <v>0</v>
      </c>
      <c r="F17" s="6">
        <f>SUM(DEC!$R$23:$R$38)</f>
        <v>0</v>
      </c>
      <c r="G17" s="6">
        <f>SUM(DEC!$W$23:$W$38)</f>
        <v>0</v>
      </c>
      <c r="H17" s="7">
        <f t="shared" si="0"/>
        <v>0</v>
      </c>
      <c r="X17" s="1"/>
    </row>
    <row r="18" spans="2:24" ht="18.75" customHeight="1">
      <c r="B18" s="8" t="s">
        <v>24</v>
      </c>
      <c r="C18" s="6">
        <f t="shared" ref="C18:G18" si="1">SUM(C6:C17)</f>
        <v>0</v>
      </c>
      <c r="D18" s="6">
        <f t="shared" si="1"/>
        <v>0</v>
      </c>
      <c r="E18" s="6">
        <f t="shared" si="1"/>
        <v>0</v>
      </c>
      <c r="F18" s="6">
        <f t="shared" si="1"/>
        <v>0</v>
      </c>
      <c r="G18" s="6">
        <f t="shared" si="1"/>
        <v>0</v>
      </c>
      <c r="H18" s="7">
        <f t="shared" si="0"/>
        <v>0</v>
      </c>
      <c r="X18" s="1"/>
    </row>
    <row r="19" spans="2:24" ht="14.25" customHeight="1">
      <c r="X19" s="1"/>
    </row>
    <row r="20" spans="2:24" ht="14.25" customHeight="1">
      <c r="X20" s="1"/>
    </row>
    <row r="21" spans="2:24" ht="14.25" customHeight="1">
      <c r="X21" s="1"/>
    </row>
    <row r="22" spans="2:24" ht="14.25" customHeight="1">
      <c r="X22" s="1"/>
    </row>
    <row r="23" spans="2:24" ht="14.25" customHeight="1">
      <c r="X23" s="1"/>
    </row>
    <row r="24" spans="2:24" ht="14.25" customHeight="1">
      <c r="X24" s="1"/>
    </row>
    <row r="25" spans="2:24" ht="14.25" customHeight="1">
      <c r="X25" s="1"/>
    </row>
    <row r="26" spans="2:24" ht="14.25" customHeight="1">
      <c r="X26" s="1"/>
    </row>
    <row r="27" spans="2:24" ht="14.25" customHeight="1">
      <c r="X27" s="1"/>
    </row>
    <row r="28" spans="2:24" ht="14.25" customHeight="1">
      <c r="X28" s="1"/>
    </row>
    <row r="29" spans="2:24" ht="14.25" customHeight="1">
      <c r="X29" s="1"/>
    </row>
    <row r="30" spans="2:24" ht="14.25" customHeight="1">
      <c r="X30" s="1"/>
    </row>
    <row r="31" spans="2:24" ht="14.25" customHeight="1">
      <c r="X31" s="1"/>
    </row>
    <row r="32" spans="2:24" ht="14.25" customHeight="1">
      <c r="X32" s="1"/>
    </row>
    <row r="33" spans="1:24" ht="14.25" customHeight="1">
      <c r="X33" s="1"/>
    </row>
    <row r="34" spans="1:24" ht="14.25" customHeight="1">
      <c r="X34" s="1"/>
    </row>
    <row r="35" spans="1:24" ht="14.25" customHeight="1">
      <c r="X35" s="1"/>
    </row>
    <row r="36" spans="1:24" ht="14.25" customHeight="1">
      <c r="X36" s="1"/>
    </row>
    <row r="37" spans="1:24" ht="14.25" customHeight="1">
      <c r="X37" s="1"/>
    </row>
    <row r="38" spans="1:24" ht="14.25" customHeight="1">
      <c r="X38" s="1"/>
    </row>
    <row r="39" spans="1:24" ht="14.25" customHeight="1">
      <c r="X39" s="1"/>
    </row>
    <row r="40" spans="1:24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</row>
    <row r="41" spans="1:24" ht="14.25" customHeight="1"/>
    <row r="42" spans="1:24" ht="14.25" customHeight="1"/>
    <row r="43" spans="1:24" ht="14.25" customHeight="1"/>
    <row r="44" spans="1:24" ht="14.25" customHeight="1"/>
    <row r="45" spans="1:24" ht="14.25" customHeight="1"/>
    <row r="46" spans="1:24" ht="14.25" customHeight="1"/>
    <row r="47" spans="1:24" ht="14.25" customHeight="1"/>
    <row r="48" spans="1:2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0">
    <mergeCell ref="V2:W3"/>
    <mergeCell ref="J4:K5"/>
    <mergeCell ref="M4:N5"/>
    <mergeCell ref="P4:Q5"/>
    <mergeCell ref="V4:W5"/>
    <mergeCell ref="S2:T3"/>
    <mergeCell ref="S4:T5"/>
    <mergeCell ref="J2:K3"/>
    <mergeCell ref="M2:N3"/>
    <mergeCell ref="P2:Q3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/>
  </sheetViews>
  <sheetFormatPr defaultColWidth="14.3984375" defaultRowHeight="15" customHeight="1"/>
  <cols>
    <col min="1" max="1" width="22.1328125" customWidth="1"/>
    <col min="2" max="2" width="27.86328125" customWidth="1"/>
    <col min="3" max="3" width="17.265625" customWidth="1"/>
    <col min="4" max="4" width="21.1328125" customWidth="1"/>
    <col min="5" max="5" width="20.86328125" customWidth="1"/>
    <col min="6" max="26" width="8.73046875" customWidth="1"/>
  </cols>
  <sheetData>
    <row r="1" spans="1:26" ht="14.25" customHeight="1">
      <c r="A1" s="9" t="s">
        <v>6</v>
      </c>
      <c r="B1" s="9" t="s">
        <v>25</v>
      </c>
      <c r="C1" s="9" t="s">
        <v>26</v>
      </c>
      <c r="D1" s="9" t="s">
        <v>27</v>
      </c>
      <c r="E1" s="9" t="s">
        <v>28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ht="14.25" customHeight="1">
      <c r="A2" s="10" t="s">
        <v>29</v>
      </c>
      <c r="B2" s="10" t="s">
        <v>30</v>
      </c>
      <c r="C2" s="10" t="s">
        <v>31</v>
      </c>
      <c r="D2" s="10" t="s">
        <v>32</v>
      </c>
      <c r="E2" s="10" t="s">
        <v>33</v>
      </c>
    </row>
    <row r="3" spans="1:26" ht="14.25" customHeight="1">
      <c r="A3" s="10" t="s">
        <v>34</v>
      </c>
      <c r="B3" s="10" t="s">
        <v>35</v>
      </c>
      <c r="C3" s="10" t="s">
        <v>36</v>
      </c>
      <c r="D3" s="10" t="s">
        <v>37</v>
      </c>
      <c r="E3" s="10" t="s">
        <v>38</v>
      </c>
    </row>
    <row r="4" spans="1:26" ht="14.25" customHeight="1">
      <c r="A4" s="10" t="s">
        <v>39</v>
      </c>
      <c r="B4" s="10" t="s">
        <v>40</v>
      </c>
      <c r="C4" s="10" t="s">
        <v>41</v>
      </c>
      <c r="D4" s="10" t="s">
        <v>42</v>
      </c>
      <c r="E4" s="10" t="s">
        <v>43</v>
      </c>
    </row>
    <row r="5" spans="1:26" ht="14.25" customHeight="1">
      <c r="A5" s="10" t="s">
        <v>44</v>
      </c>
      <c r="B5" s="10" t="s">
        <v>45</v>
      </c>
      <c r="C5" s="10" t="s">
        <v>46</v>
      </c>
      <c r="D5" s="10" t="s">
        <v>47</v>
      </c>
      <c r="E5" s="10" t="s">
        <v>48</v>
      </c>
    </row>
    <row r="6" spans="1:26" ht="14.25" customHeight="1">
      <c r="A6" s="10" t="s">
        <v>49</v>
      </c>
      <c r="B6" s="10" t="s">
        <v>50</v>
      </c>
      <c r="C6" s="10" t="s">
        <v>51</v>
      </c>
      <c r="D6" s="10" t="s">
        <v>52</v>
      </c>
      <c r="E6" s="10" t="s">
        <v>53</v>
      </c>
    </row>
    <row r="7" spans="1:26" ht="14.25" customHeight="1">
      <c r="A7" s="10" t="s">
        <v>54</v>
      </c>
      <c r="B7" s="10" t="s">
        <v>55</v>
      </c>
      <c r="C7" s="10" t="s">
        <v>56</v>
      </c>
      <c r="D7" s="10" t="s">
        <v>57</v>
      </c>
      <c r="E7" s="10" t="s">
        <v>58</v>
      </c>
    </row>
    <row r="8" spans="1:26" ht="14.25" customHeight="1">
      <c r="A8" s="10" t="s">
        <v>59</v>
      </c>
      <c r="B8" s="10" t="s">
        <v>60</v>
      </c>
      <c r="C8" s="10" t="s">
        <v>61</v>
      </c>
      <c r="D8" s="10" t="s">
        <v>62</v>
      </c>
      <c r="E8" s="10" t="s">
        <v>63</v>
      </c>
    </row>
    <row r="9" spans="1:26" ht="14.25" customHeight="1">
      <c r="A9" s="10" t="s">
        <v>64</v>
      </c>
      <c r="B9" s="10" t="s">
        <v>65</v>
      </c>
      <c r="C9" s="10" t="s">
        <v>66</v>
      </c>
      <c r="D9" s="10" t="s">
        <v>67</v>
      </c>
      <c r="E9" s="10" t="s">
        <v>68</v>
      </c>
    </row>
    <row r="10" spans="1:26" ht="14.25" customHeight="1">
      <c r="A10" s="10" t="s">
        <v>69</v>
      </c>
      <c r="B10" s="10" t="s">
        <v>70</v>
      </c>
      <c r="C10" s="10" t="s">
        <v>71</v>
      </c>
      <c r="D10" s="10" t="s">
        <v>72</v>
      </c>
      <c r="E10" s="10" t="s">
        <v>73</v>
      </c>
    </row>
    <row r="11" spans="1:26" ht="14.25" customHeight="1">
      <c r="A11" s="10" t="s">
        <v>74</v>
      </c>
      <c r="B11" s="10" t="s">
        <v>75</v>
      </c>
      <c r="C11" s="10" t="s">
        <v>76</v>
      </c>
      <c r="D11" s="10" t="s">
        <v>77</v>
      </c>
      <c r="E11" s="10" t="s">
        <v>78</v>
      </c>
    </row>
    <row r="12" spans="1:26" ht="14.25" customHeight="1">
      <c r="A12" s="10" t="s">
        <v>79</v>
      </c>
      <c r="B12" s="10" t="s">
        <v>80</v>
      </c>
      <c r="C12" s="10" t="s">
        <v>81</v>
      </c>
      <c r="D12" s="10" t="s">
        <v>82</v>
      </c>
      <c r="E12" s="10" t="s">
        <v>83</v>
      </c>
    </row>
    <row r="13" spans="1:26" ht="14.25" customHeight="1">
      <c r="A13" s="10" t="s">
        <v>84</v>
      </c>
      <c r="B13" s="10" t="s">
        <v>85</v>
      </c>
      <c r="C13" s="10" t="s">
        <v>86</v>
      </c>
      <c r="D13" s="10" t="s">
        <v>87</v>
      </c>
      <c r="E13" s="10" t="s">
        <v>88</v>
      </c>
    </row>
    <row r="14" spans="1:26" ht="14.25" customHeight="1">
      <c r="A14" s="10" t="s">
        <v>89</v>
      </c>
      <c r="B14" s="10" t="s">
        <v>90</v>
      </c>
      <c r="C14" s="10" t="s">
        <v>91</v>
      </c>
      <c r="D14" s="10" t="s">
        <v>92</v>
      </c>
      <c r="E14" s="10" t="s">
        <v>93</v>
      </c>
    </row>
    <row r="15" spans="1:26" ht="14.25" customHeight="1">
      <c r="A15" s="10" t="s">
        <v>94</v>
      </c>
      <c r="B15" s="10" t="s">
        <v>95</v>
      </c>
      <c r="C15" s="10" t="s">
        <v>96</v>
      </c>
      <c r="D15" s="10" t="s">
        <v>97</v>
      </c>
      <c r="E15" s="10" t="s">
        <v>98</v>
      </c>
    </row>
    <row r="16" spans="1:26" ht="14.25" customHeight="1">
      <c r="A16" s="10" t="s">
        <v>99</v>
      </c>
      <c r="B16" s="10" t="s">
        <v>100</v>
      </c>
      <c r="C16" s="10" t="s">
        <v>101</v>
      </c>
      <c r="D16" s="10" t="s">
        <v>102</v>
      </c>
      <c r="E16" s="10" t="s">
        <v>103</v>
      </c>
    </row>
    <row r="17" spans="1:5" ht="14.25" customHeight="1">
      <c r="A17" s="10" t="s">
        <v>104</v>
      </c>
      <c r="B17" s="10" t="s">
        <v>105</v>
      </c>
      <c r="C17" s="10" t="s">
        <v>106</v>
      </c>
      <c r="D17" s="10" t="s">
        <v>107</v>
      </c>
      <c r="E17" s="10" t="s">
        <v>108</v>
      </c>
    </row>
    <row r="18" spans="1:5" ht="14.25" customHeight="1">
      <c r="A18" s="10" t="s">
        <v>109</v>
      </c>
      <c r="B18" s="10" t="s">
        <v>110</v>
      </c>
      <c r="C18" s="10" t="s">
        <v>111</v>
      </c>
      <c r="D18" s="10" t="s">
        <v>112</v>
      </c>
      <c r="E18" s="10" t="s">
        <v>113</v>
      </c>
    </row>
    <row r="19" spans="1:5" ht="14.25" customHeight="1">
      <c r="A19" s="10" t="s">
        <v>114</v>
      </c>
      <c r="B19" s="10" t="s">
        <v>115</v>
      </c>
      <c r="C19" s="10" t="s">
        <v>116</v>
      </c>
      <c r="D19" s="10" t="s">
        <v>117</v>
      </c>
      <c r="E19" s="10" t="s">
        <v>118</v>
      </c>
    </row>
    <row r="20" spans="1:5" ht="14.25" customHeight="1">
      <c r="A20" s="10" t="s">
        <v>119</v>
      </c>
      <c r="B20" s="10" t="s">
        <v>120</v>
      </c>
      <c r="C20" s="10" t="s">
        <v>121</v>
      </c>
      <c r="D20" s="10" t="s">
        <v>122</v>
      </c>
      <c r="E20" s="10" t="s">
        <v>123</v>
      </c>
    </row>
    <row r="21" spans="1:5" ht="14.25" customHeight="1">
      <c r="A21" s="10" t="s">
        <v>124</v>
      </c>
      <c r="B21" s="10" t="s">
        <v>125</v>
      </c>
      <c r="C21" s="10" t="s">
        <v>126</v>
      </c>
      <c r="D21" s="10" t="s">
        <v>127</v>
      </c>
      <c r="E21" s="10" t="s">
        <v>128</v>
      </c>
    </row>
    <row r="22" spans="1:5" ht="14.25" customHeight="1">
      <c r="A22" s="10" t="s">
        <v>129</v>
      </c>
      <c r="B22" s="10" t="s">
        <v>130</v>
      </c>
      <c r="C22" s="10" t="s">
        <v>131</v>
      </c>
      <c r="E22" s="10" t="s">
        <v>132</v>
      </c>
    </row>
    <row r="23" spans="1:5" ht="14.25" customHeight="1">
      <c r="A23" s="10" t="s">
        <v>133</v>
      </c>
      <c r="B23" s="10" t="s">
        <v>134</v>
      </c>
      <c r="C23" s="10" t="s">
        <v>135</v>
      </c>
      <c r="E23" s="10" t="s">
        <v>136</v>
      </c>
    </row>
    <row r="24" spans="1:5" ht="14.25" customHeight="1">
      <c r="A24" s="10" t="s">
        <v>137</v>
      </c>
      <c r="B24" s="10" t="s">
        <v>138</v>
      </c>
      <c r="C24" s="10" t="s">
        <v>139</v>
      </c>
      <c r="E24" s="10" t="s">
        <v>140</v>
      </c>
    </row>
    <row r="25" spans="1:5" ht="14.25" customHeight="1">
      <c r="A25" s="10" t="s">
        <v>141</v>
      </c>
      <c r="C25" s="10" t="s">
        <v>142</v>
      </c>
      <c r="E25" s="10" t="s">
        <v>127</v>
      </c>
    </row>
    <row r="26" spans="1:5" ht="14.25" customHeight="1">
      <c r="A26" s="10" t="s">
        <v>143</v>
      </c>
      <c r="C26" s="10" t="s">
        <v>144</v>
      </c>
    </row>
    <row r="27" spans="1:5" ht="14.25" customHeight="1">
      <c r="A27" s="10" t="s">
        <v>145</v>
      </c>
      <c r="C27" s="10" t="s">
        <v>146</v>
      </c>
    </row>
    <row r="28" spans="1:5" ht="14.25" customHeight="1">
      <c r="A28" s="10" t="s">
        <v>147</v>
      </c>
      <c r="C28" s="10" t="s">
        <v>148</v>
      </c>
    </row>
    <row r="29" spans="1:5" ht="14.25" customHeight="1">
      <c r="A29" s="10" t="s">
        <v>149</v>
      </c>
      <c r="C29" s="10" t="s">
        <v>66</v>
      </c>
    </row>
    <row r="30" spans="1:5" ht="14.25" customHeight="1">
      <c r="A30" s="10" t="s">
        <v>150</v>
      </c>
      <c r="C30" s="10" t="s">
        <v>71</v>
      </c>
    </row>
    <row r="31" spans="1:5" ht="14.25" customHeight="1">
      <c r="A31" s="10" t="s">
        <v>151</v>
      </c>
      <c r="C31" s="10" t="s">
        <v>152</v>
      </c>
    </row>
    <row r="32" spans="1:5" ht="14.25" customHeight="1">
      <c r="A32" s="10" t="s">
        <v>153</v>
      </c>
      <c r="C32" s="10" t="s">
        <v>127</v>
      </c>
    </row>
    <row r="33" spans="1:1" ht="14.25" customHeight="1">
      <c r="A33" s="10" t="s">
        <v>154</v>
      </c>
    </row>
    <row r="34" spans="1:1" ht="14.25" customHeight="1">
      <c r="A34" s="10" t="s">
        <v>155</v>
      </c>
    </row>
    <row r="35" spans="1:1" ht="14.25" customHeight="1">
      <c r="A35" s="10" t="s">
        <v>127</v>
      </c>
    </row>
    <row r="36" spans="1:1" ht="14.25" customHeight="1"/>
    <row r="37" spans="1:1" ht="14.25" customHeight="1"/>
    <row r="38" spans="1:1" ht="14.25" customHeight="1"/>
    <row r="39" spans="1:1" ht="14.25" customHeight="1"/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9933"/>
  </sheetPr>
  <dimension ref="B1:AP1000"/>
  <sheetViews>
    <sheetView workbookViewId="0"/>
  </sheetViews>
  <sheetFormatPr defaultColWidth="14.3984375" defaultRowHeight="15" customHeight="1"/>
  <cols>
    <col min="1" max="1" width="3.3984375" customWidth="1"/>
    <col min="2" max="2" width="14.265625" customWidth="1"/>
    <col min="3" max="3" width="14.3984375" customWidth="1"/>
    <col min="4" max="4" width="15.3984375" customWidth="1"/>
    <col min="5" max="5" width="4.3984375" customWidth="1"/>
    <col min="6" max="6" width="12.1328125" customWidth="1"/>
    <col min="7" max="8" width="12.73046875" customWidth="1"/>
    <col min="9" max="9" width="11.73046875" customWidth="1"/>
    <col min="10" max="10" width="8.73046875" customWidth="1"/>
    <col min="11" max="11" width="10.1328125" customWidth="1"/>
    <col min="12" max="13" width="11.86328125" customWidth="1"/>
    <col min="14" max="14" width="11.73046875" customWidth="1"/>
    <col min="15" max="15" width="8.73046875" customWidth="1"/>
    <col min="16" max="16" width="13.86328125" customWidth="1"/>
    <col min="17" max="18" width="11.86328125" customWidth="1"/>
    <col min="19" max="19" width="11.73046875" customWidth="1"/>
    <col min="20" max="20" width="8.73046875" customWidth="1"/>
    <col min="21" max="21" width="16.265625" customWidth="1"/>
    <col min="22" max="22" width="13" customWidth="1"/>
    <col min="23" max="23" width="17.1328125" customWidth="1"/>
    <col min="24" max="24" width="13.86328125" customWidth="1"/>
    <col min="25" max="37" width="8.73046875" customWidth="1"/>
    <col min="38" max="39" width="8.73046875" hidden="1" customWidth="1"/>
    <col min="40" max="40" width="17.53125" hidden="1" customWidth="1"/>
    <col min="41" max="41" width="12.3984375" hidden="1" customWidth="1"/>
    <col min="42" max="42" width="14.86328125" hidden="1" customWidth="1"/>
  </cols>
  <sheetData>
    <row r="1" spans="2:42" ht="14.25" customHeight="1"/>
    <row r="2" spans="2:42" ht="19.5" customHeight="1">
      <c r="B2" s="50" t="s">
        <v>156</v>
      </c>
      <c r="C2" s="30"/>
      <c r="D2" s="25"/>
      <c r="F2" s="29" t="s">
        <v>157</v>
      </c>
      <c r="G2" s="30"/>
      <c r="H2" s="25"/>
      <c r="J2" s="29" t="s">
        <v>158</v>
      </c>
      <c r="K2" s="30"/>
      <c r="L2" s="25"/>
      <c r="N2" s="29" t="s">
        <v>159</v>
      </c>
      <c r="O2" s="30"/>
      <c r="P2" s="25"/>
      <c r="R2" s="49" t="s">
        <v>160</v>
      </c>
      <c r="S2" s="30"/>
      <c r="T2" s="25"/>
      <c r="V2" s="33" t="s">
        <v>161</v>
      </c>
      <c r="W2" s="30"/>
      <c r="X2" s="25"/>
      <c r="AM2" s="11" t="s">
        <v>162</v>
      </c>
      <c r="AN2" s="11" t="s">
        <v>163</v>
      </c>
      <c r="AO2" s="11" t="s">
        <v>164</v>
      </c>
      <c r="AP2" s="11" t="s">
        <v>165</v>
      </c>
    </row>
    <row r="3" spans="2:42" ht="19.5" customHeight="1">
      <c r="B3" s="51"/>
      <c r="C3" s="45"/>
      <c r="D3" s="52"/>
      <c r="F3" s="26"/>
      <c r="G3" s="31"/>
      <c r="H3" s="27"/>
      <c r="J3" s="26"/>
      <c r="K3" s="31"/>
      <c r="L3" s="27"/>
      <c r="N3" s="26"/>
      <c r="O3" s="31"/>
      <c r="P3" s="27"/>
      <c r="R3" s="26"/>
      <c r="S3" s="31"/>
      <c r="T3" s="27"/>
      <c r="V3" s="26"/>
      <c r="W3" s="31"/>
      <c r="X3" s="27"/>
      <c r="AM3" s="12">
        <f t="shared" ref="AM3:AM65" si="0">IFERROR(_xlfn.RANK.EQ(AP3, $AP$3:$AP$150)+ COUNTIFS($AP$3:AP3, AP3) - 1,"")</f>
        <v>1</v>
      </c>
      <c r="AN3" s="12" t="str">
        <f t="shared" ref="AN3:AN18" si="1">F23</f>
        <v>SACCO Dues</v>
      </c>
      <c r="AO3" s="12" t="s">
        <v>158</v>
      </c>
      <c r="AP3" s="12">
        <f>IFERROR(VLOOKUP(AN3,JAN!$F$23:$H$38,3,FALSE),"")</f>
        <v>0</v>
      </c>
    </row>
    <row r="4" spans="2:42" ht="19.5" customHeight="1">
      <c r="B4" s="35"/>
      <c r="C4" s="36"/>
      <c r="D4" s="37"/>
      <c r="F4" s="32">
        <f>SUM(JAN!$D$23:$D$38)</f>
        <v>0</v>
      </c>
      <c r="G4" s="30"/>
      <c r="H4" s="25"/>
      <c r="J4" s="32">
        <f>SUM(JAN!$H$23:$H$38)</f>
        <v>0</v>
      </c>
      <c r="K4" s="30"/>
      <c r="L4" s="25"/>
      <c r="N4" s="32">
        <f>SUM(JAN!$M$23:$M$38)</f>
        <v>0</v>
      </c>
      <c r="O4" s="30"/>
      <c r="P4" s="25"/>
      <c r="R4" s="32">
        <f>SUM(JAN!$R$23:$R$38)</f>
        <v>0</v>
      </c>
      <c r="S4" s="30"/>
      <c r="T4" s="25"/>
      <c r="V4" s="32">
        <f>SUM(JAN!$W$23:$W$38)</f>
        <v>0</v>
      </c>
      <c r="W4" s="30"/>
      <c r="X4" s="25"/>
      <c r="AM4" s="12" t="str">
        <f t="shared" si="0"/>
        <v/>
      </c>
      <c r="AN4" s="12">
        <f t="shared" si="1"/>
        <v>0</v>
      </c>
      <c r="AO4" s="12" t="s">
        <v>158</v>
      </c>
      <c r="AP4" s="12" t="str">
        <f>IFERROR(VLOOKUP(AN4,JAN!$F$23:$H$38,3,FALSE),"")</f>
        <v/>
      </c>
    </row>
    <row r="5" spans="2:42" ht="21.75" customHeight="1">
      <c r="B5" s="38" t="s">
        <v>166</v>
      </c>
      <c r="C5" s="39"/>
      <c r="D5" s="40"/>
      <c r="F5" s="26"/>
      <c r="G5" s="31"/>
      <c r="H5" s="27"/>
      <c r="J5" s="26"/>
      <c r="K5" s="31"/>
      <c r="L5" s="27"/>
      <c r="N5" s="26"/>
      <c r="O5" s="31"/>
      <c r="P5" s="27"/>
      <c r="R5" s="26"/>
      <c r="S5" s="31"/>
      <c r="T5" s="27"/>
      <c r="V5" s="26"/>
      <c r="W5" s="31"/>
      <c r="X5" s="27"/>
      <c r="AM5" s="12" t="str">
        <f t="shared" si="0"/>
        <v/>
      </c>
      <c r="AN5" s="12">
        <f t="shared" si="1"/>
        <v>0</v>
      </c>
      <c r="AO5" s="12" t="s">
        <v>158</v>
      </c>
      <c r="AP5" s="12" t="str">
        <f>IFERROR(VLOOKUP(AN5,JAN!$F$23:$H$38,3,FALSE),"")</f>
        <v/>
      </c>
    </row>
    <row r="6" spans="2:42" ht="14.25" customHeight="1">
      <c r="AM6" s="12" t="str">
        <f t="shared" si="0"/>
        <v/>
      </c>
      <c r="AN6" s="12">
        <f t="shared" si="1"/>
        <v>0</v>
      </c>
      <c r="AO6" s="12" t="s">
        <v>158</v>
      </c>
      <c r="AP6" s="12" t="str">
        <f>IFERROR(VLOOKUP(AN6,JAN!$F$23:$H$38,3,FALSE),"")</f>
        <v/>
      </c>
    </row>
    <row r="7" spans="2:42" ht="13.5" customHeight="1">
      <c r="B7" s="41" t="s">
        <v>167</v>
      </c>
      <c r="C7" s="42"/>
      <c r="D7" s="43"/>
      <c r="V7" s="13" t="s">
        <v>168</v>
      </c>
      <c r="W7" s="13" t="s">
        <v>163</v>
      </c>
      <c r="X7" s="13" t="s">
        <v>169</v>
      </c>
      <c r="AM7" s="12" t="str">
        <f t="shared" si="0"/>
        <v/>
      </c>
      <c r="AN7" s="12">
        <f t="shared" si="1"/>
        <v>0</v>
      </c>
      <c r="AO7" s="12" t="s">
        <v>158</v>
      </c>
      <c r="AP7" s="12" t="str">
        <f>IFERROR(VLOOKUP(AN7,JAN!$F$23:$H$38,3,FALSE),"")</f>
        <v/>
      </c>
    </row>
    <row r="8" spans="2:42" ht="13.5" customHeight="1">
      <c r="B8" s="44"/>
      <c r="C8" s="45"/>
      <c r="D8" s="46"/>
      <c r="V8" s="12">
        <v>1</v>
      </c>
      <c r="W8" s="12" t="str">
        <f t="shared" ref="W8:W18" si="2">IFERROR(VLOOKUP(V8,$AM$3:$AP$65,2,FALSE),"")</f>
        <v>SACCO Dues</v>
      </c>
      <c r="X8" s="12">
        <f t="shared" ref="X8:X18" si="3">IFERROR(VLOOKUP(V8,$AM$3:$AP$65,4,FALSE),"")</f>
        <v>0</v>
      </c>
      <c r="AM8" s="12" t="str">
        <f t="shared" si="0"/>
        <v/>
      </c>
      <c r="AN8" s="12">
        <f t="shared" si="1"/>
        <v>0</v>
      </c>
      <c r="AO8" s="12" t="s">
        <v>158</v>
      </c>
      <c r="AP8" s="12" t="str">
        <f>IFERROR(VLOOKUP(AN8,JAN!$F$23:$H$38,3,FALSE),"")</f>
        <v/>
      </c>
    </row>
    <row r="9" spans="2:42" ht="13.5" customHeight="1">
      <c r="B9" s="47"/>
      <c r="C9" s="31"/>
      <c r="D9" s="48"/>
      <c r="V9" s="12">
        <v>2</v>
      </c>
      <c r="W9" s="12" t="str">
        <f t="shared" si="2"/>
        <v/>
      </c>
      <c r="X9" s="12" t="str">
        <f t="shared" si="3"/>
        <v/>
      </c>
      <c r="AM9" s="12" t="str">
        <f t="shared" si="0"/>
        <v/>
      </c>
      <c r="AN9" s="12">
        <f t="shared" si="1"/>
        <v>0</v>
      </c>
      <c r="AO9" s="12" t="s">
        <v>158</v>
      </c>
      <c r="AP9" s="12" t="str">
        <f>IFERROR(VLOOKUP(AN9,JAN!$F$23:$H$38,3,FALSE),"")</f>
        <v/>
      </c>
    </row>
    <row r="10" spans="2:42" ht="13.5" customHeight="1">
      <c r="B10" s="14"/>
      <c r="C10" s="14" t="s">
        <v>170</v>
      </c>
      <c r="D10" s="14" t="s">
        <v>171</v>
      </c>
      <c r="V10" s="12">
        <v>3</v>
      </c>
      <c r="W10" s="12" t="str">
        <f t="shared" si="2"/>
        <v/>
      </c>
      <c r="X10" s="12" t="str">
        <f t="shared" si="3"/>
        <v/>
      </c>
      <c r="AM10" s="12" t="str">
        <f t="shared" si="0"/>
        <v/>
      </c>
      <c r="AN10" s="12">
        <f t="shared" si="1"/>
        <v>0</v>
      </c>
      <c r="AO10" s="12" t="s">
        <v>158</v>
      </c>
      <c r="AP10" s="12" t="str">
        <f>IFERROR(VLOOKUP(AN10,JAN!$F$23:$H$38,3,FALSE),"")</f>
        <v/>
      </c>
    </row>
    <row r="11" spans="2:42" ht="13.5" customHeight="1">
      <c r="B11" s="15" t="s">
        <v>157</v>
      </c>
      <c r="C11" s="16">
        <f>SUM(JAN!$C$23:$C$38)</f>
        <v>0</v>
      </c>
      <c r="D11" s="17">
        <f>SUM(JAN!$D$23:$D$38)</f>
        <v>0</v>
      </c>
      <c r="V11" s="12">
        <v>4</v>
      </c>
      <c r="W11" s="12" t="str">
        <f t="shared" si="2"/>
        <v/>
      </c>
      <c r="X11" s="12" t="str">
        <f t="shared" si="3"/>
        <v/>
      </c>
      <c r="AM11" s="12" t="str">
        <f t="shared" si="0"/>
        <v/>
      </c>
      <c r="AN11" s="12">
        <f t="shared" si="1"/>
        <v>0</v>
      </c>
      <c r="AO11" s="12" t="s">
        <v>158</v>
      </c>
      <c r="AP11" s="12" t="str">
        <f>IFERROR(VLOOKUP(AN11,JAN!$F$23:$H$38,3,FALSE),"")</f>
        <v/>
      </c>
    </row>
    <row r="12" spans="2:42" ht="13.5" customHeight="1">
      <c r="B12" s="15" t="s">
        <v>158</v>
      </c>
      <c r="C12" s="16">
        <f>SUM(JAN!$G$23:$G$38)</f>
        <v>0</v>
      </c>
      <c r="D12" s="17">
        <f>SUM(JAN!$H$23:$H$38)</f>
        <v>0</v>
      </c>
      <c r="V12" s="12">
        <v>5</v>
      </c>
      <c r="W12" s="12" t="str">
        <f t="shared" si="2"/>
        <v/>
      </c>
      <c r="X12" s="12" t="str">
        <f t="shared" si="3"/>
        <v/>
      </c>
      <c r="AM12" s="12" t="str">
        <f t="shared" si="0"/>
        <v/>
      </c>
      <c r="AN12" s="12">
        <f t="shared" si="1"/>
        <v>0</v>
      </c>
      <c r="AO12" s="12" t="s">
        <v>158</v>
      </c>
      <c r="AP12" s="12" t="str">
        <f>IFERROR(VLOOKUP(AN12,JAN!$F$23:$H$38,3,FALSE),"")</f>
        <v/>
      </c>
    </row>
    <row r="13" spans="2:42" ht="13.5" customHeight="1">
      <c r="B13" s="15" t="s">
        <v>159</v>
      </c>
      <c r="C13" s="16">
        <f>SUM(JAN!$L$23:$L$38)</f>
        <v>0</v>
      </c>
      <c r="D13" s="17">
        <f>SUM(JAN!$M$23:$M$38)</f>
        <v>0</v>
      </c>
      <c r="V13" s="12">
        <v>6</v>
      </c>
      <c r="W13" s="12" t="str">
        <f t="shared" si="2"/>
        <v/>
      </c>
      <c r="X13" s="12" t="str">
        <f t="shared" si="3"/>
        <v/>
      </c>
      <c r="AM13" s="12" t="str">
        <f t="shared" si="0"/>
        <v/>
      </c>
      <c r="AN13" s="12">
        <f t="shared" si="1"/>
        <v>0</v>
      </c>
      <c r="AO13" s="12" t="s">
        <v>158</v>
      </c>
      <c r="AP13" s="12" t="str">
        <f>IFERROR(VLOOKUP(AN13,JAN!$F$23:$H$38,3,FALSE),"")</f>
        <v/>
      </c>
    </row>
    <row r="14" spans="2:42" ht="13.5" customHeight="1">
      <c r="B14" s="15" t="s">
        <v>160</v>
      </c>
      <c r="C14" s="16">
        <f>SUM(JAN!$Q$23:$Q$38)</f>
        <v>0</v>
      </c>
      <c r="D14" s="17">
        <f>SUM(JAN!$R$23:$R$38)</f>
        <v>0</v>
      </c>
      <c r="V14" s="12">
        <v>7</v>
      </c>
      <c r="W14" s="12" t="str">
        <f t="shared" si="2"/>
        <v/>
      </c>
      <c r="X14" s="12" t="str">
        <f t="shared" si="3"/>
        <v/>
      </c>
      <c r="AM14" s="12" t="str">
        <f t="shared" si="0"/>
        <v/>
      </c>
      <c r="AN14" s="12">
        <f t="shared" si="1"/>
        <v>0</v>
      </c>
      <c r="AO14" s="12" t="s">
        <v>158</v>
      </c>
      <c r="AP14" s="12" t="str">
        <f>IFERROR(VLOOKUP(AN14,JAN!$F$23:$H$38,3,FALSE),"")</f>
        <v/>
      </c>
    </row>
    <row r="15" spans="2:42" ht="13.5" customHeight="1">
      <c r="B15" s="18" t="s">
        <v>161</v>
      </c>
      <c r="C15" s="19">
        <f>SUM(JAN!$V$23:$V$38)</f>
        <v>0</v>
      </c>
      <c r="D15" s="20">
        <f>SUM(JAN!$W$23:$W$38)</f>
        <v>0</v>
      </c>
      <c r="V15" s="12">
        <v>8</v>
      </c>
      <c r="W15" s="12" t="str">
        <f t="shared" si="2"/>
        <v/>
      </c>
      <c r="X15" s="12" t="str">
        <f t="shared" si="3"/>
        <v/>
      </c>
      <c r="AM15" s="12" t="str">
        <f t="shared" si="0"/>
        <v/>
      </c>
      <c r="AN15" s="12">
        <f t="shared" si="1"/>
        <v>0</v>
      </c>
      <c r="AO15" s="12" t="s">
        <v>158</v>
      </c>
      <c r="AP15" s="12" t="str">
        <f>IFERROR(VLOOKUP(AN15,JAN!$F$23:$H$38,3,FALSE),"")</f>
        <v/>
      </c>
    </row>
    <row r="16" spans="2:42" ht="13.5" customHeight="1">
      <c r="B16" s="21" t="s">
        <v>172</v>
      </c>
      <c r="C16" s="22">
        <f t="shared" ref="C16:D16" si="4">(C11-SUM(C12:C15))</f>
        <v>0</v>
      </c>
      <c r="D16" s="22">
        <f t="shared" si="4"/>
        <v>0</v>
      </c>
      <c r="V16" s="12">
        <v>9</v>
      </c>
      <c r="W16" s="12" t="str">
        <f t="shared" si="2"/>
        <v/>
      </c>
      <c r="X16" s="12" t="str">
        <f t="shared" si="3"/>
        <v/>
      </c>
      <c r="AM16" s="12" t="str">
        <f t="shared" si="0"/>
        <v/>
      </c>
      <c r="AN16" s="12">
        <f t="shared" si="1"/>
        <v>0</v>
      </c>
      <c r="AO16" s="12" t="s">
        <v>158</v>
      </c>
      <c r="AP16" s="12" t="str">
        <f>IFERROR(VLOOKUP(AN16,JAN!$F$23:$H$38,3,FALSE),"")</f>
        <v/>
      </c>
    </row>
    <row r="17" spans="2:42" ht="13.5" customHeight="1">
      <c r="C17" s="16"/>
      <c r="D17" s="16"/>
      <c r="V17" s="12">
        <v>10</v>
      </c>
      <c r="W17" s="12" t="str">
        <f t="shared" si="2"/>
        <v/>
      </c>
      <c r="X17" s="12" t="str">
        <f t="shared" si="3"/>
        <v/>
      </c>
      <c r="AM17" s="12" t="str">
        <f t="shared" si="0"/>
        <v/>
      </c>
      <c r="AN17" s="12">
        <f t="shared" si="1"/>
        <v>0</v>
      </c>
      <c r="AO17" s="12" t="s">
        <v>158</v>
      </c>
      <c r="AP17" s="12" t="str">
        <f>IFERROR(VLOOKUP(AN17,JAN!$F$23:$H$38,3,FALSE),"")</f>
        <v/>
      </c>
    </row>
    <row r="18" spans="2:42" ht="13.5" customHeight="1">
      <c r="V18" s="12">
        <v>11</v>
      </c>
      <c r="W18" s="12" t="str">
        <f t="shared" si="2"/>
        <v/>
      </c>
      <c r="X18" s="12" t="str">
        <f t="shared" si="3"/>
        <v/>
      </c>
      <c r="AM18" s="12" t="str">
        <f t="shared" si="0"/>
        <v/>
      </c>
      <c r="AN18" s="12">
        <f t="shared" si="1"/>
        <v>0</v>
      </c>
      <c r="AO18" s="12" t="s">
        <v>158</v>
      </c>
      <c r="AP18" s="12" t="str">
        <f>IFERROR(VLOOKUP(AN18,JAN!$F$23:$H$38,3,FALSE),"")</f>
        <v/>
      </c>
    </row>
    <row r="19" spans="2:42" ht="14.25" customHeight="1">
      <c r="AM19" s="12" t="str">
        <f t="shared" si="0"/>
        <v/>
      </c>
      <c r="AN19" s="12">
        <f t="shared" ref="AN19:AN34" si="5">K23</f>
        <v>0</v>
      </c>
      <c r="AO19" s="12" t="s">
        <v>159</v>
      </c>
      <c r="AP19" s="12" t="str">
        <f>IFERROR(VLOOKUP(AN19,JAN!$K$23:$M$38,3,FALSE),"")</f>
        <v/>
      </c>
    </row>
    <row r="20" spans="2:42" ht="14.25" customHeight="1">
      <c r="B20" s="29" t="s">
        <v>157</v>
      </c>
      <c r="C20" s="30"/>
      <c r="D20" s="25"/>
      <c r="F20" s="29" t="s">
        <v>158</v>
      </c>
      <c r="G20" s="30"/>
      <c r="H20" s="30"/>
      <c r="I20" s="25"/>
      <c r="K20" s="29" t="s">
        <v>159</v>
      </c>
      <c r="L20" s="30"/>
      <c r="M20" s="30"/>
      <c r="N20" s="25"/>
      <c r="P20" s="49" t="s">
        <v>160</v>
      </c>
      <c r="Q20" s="30"/>
      <c r="R20" s="30"/>
      <c r="S20" s="25"/>
      <c r="U20" s="34" t="s">
        <v>161</v>
      </c>
      <c r="V20" s="30"/>
      <c r="W20" s="30"/>
      <c r="X20" s="25"/>
      <c r="AM20" s="12" t="str">
        <f t="shared" si="0"/>
        <v/>
      </c>
      <c r="AN20" s="12">
        <f t="shared" si="5"/>
        <v>0</v>
      </c>
      <c r="AO20" s="12" t="s">
        <v>159</v>
      </c>
      <c r="AP20" s="12" t="str">
        <f>IFERROR(VLOOKUP(AN20,JAN!$K$23:$M$38,3,FALSE),"")</f>
        <v/>
      </c>
    </row>
    <row r="21" spans="2:42" ht="14.25" customHeight="1">
      <c r="B21" s="35"/>
      <c r="C21" s="36"/>
      <c r="D21" s="37"/>
      <c r="F21" s="35"/>
      <c r="G21" s="36"/>
      <c r="H21" s="36"/>
      <c r="I21" s="37"/>
      <c r="K21" s="35"/>
      <c r="L21" s="36"/>
      <c r="M21" s="36"/>
      <c r="N21" s="37"/>
      <c r="P21" s="35"/>
      <c r="Q21" s="36"/>
      <c r="R21" s="36"/>
      <c r="S21" s="37"/>
      <c r="U21" s="35"/>
      <c r="V21" s="36"/>
      <c r="W21" s="36"/>
      <c r="X21" s="37"/>
      <c r="AM21" s="12" t="str">
        <f t="shared" si="0"/>
        <v/>
      </c>
      <c r="AN21" s="12">
        <f t="shared" si="5"/>
        <v>0</v>
      </c>
      <c r="AO21" s="12" t="s">
        <v>159</v>
      </c>
      <c r="AP21" s="12" t="str">
        <f>IFERROR(VLOOKUP(AN21,JAN!$K$23:$M$38,3,FALSE),"")</f>
        <v/>
      </c>
    </row>
    <row r="22" spans="2:42" ht="14.25" customHeight="1">
      <c r="B22" s="15" t="s">
        <v>173</v>
      </c>
      <c r="C22" s="10" t="s">
        <v>170</v>
      </c>
      <c r="D22" s="23" t="s">
        <v>171</v>
      </c>
      <c r="F22" s="15" t="s">
        <v>173</v>
      </c>
      <c r="G22" s="10" t="s">
        <v>170</v>
      </c>
      <c r="H22" s="10" t="s">
        <v>171</v>
      </c>
      <c r="I22" s="23" t="s">
        <v>174</v>
      </c>
      <c r="K22" s="15" t="s">
        <v>173</v>
      </c>
      <c r="L22" s="10" t="s">
        <v>170</v>
      </c>
      <c r="M22" s="10" t="s">
        <v>171</v>
      </c>
      <c r="N22" s="23" t="s">
        <v>174</v>
      </c>
      <c r="P22" s="15" t="s">
        <v>173</v>
      </c>
      <c r="Q22" s="10" t="s">
        <v>170</v>
      </c>
      <c r="R22" s="10" t="s">
        <v>171</v>
      </c>
      <c r="S22" s="23" t="s">
        <v>174</v>
      </c>
      <c r="U22" s="15" t="s">
        <v>173</v>
      </c>
      <c r="V22" s="10" t="s">
        <v>170</v>
      </c>
      <c r="W22" s="10" t="s">
        <v>171</v>
      </c>
      <c r="X22" s="23" t="s">
        <v>174</v>
      </c>
      <c r="AM22" s="12" t="str">
        <f t="shared" si="0"/>
        <v/>
      </c>
      <c r="AN22" s="12">
        <f t="shared" si="5"/>
        <v>0</v>
      </c>
      <c r="AO22" s="12" t="s">
        <v>159</v>
      </c>
      <c r="AP22" s="12" t="str">
        <f>IFERROR(VLOOKUP(AN22,JAN!$K$23:$M$38,3,FALSE),"")</f>
        <v/>
      </c>
    </row>
    <row r="23" spans="2:42" ht="14.25" customHeight="1">
      <c r="B23" s="15"/>
      <c r="C23" s="16"/>
      <c r="D23" s="17"/>
      <c r="F23" s="15" t="s">
        <v>115</v>
      </c>
      <c r="G23" s="16"/>
      <c r="H23" s="16"/>
      <c r="I23" s="17">
        <f>JAN!$G23-JAN!$H23</f>
        <v>0</v>
      </c>
      <c r="K23" s="15"/>
      <c r="L23" s="16"/>
      <c r="M23" s="16"/>
      <c r="N23" s="17">
        <f>JAN!$L23-JAN!$M23</f>
        <v>0</v>
      </c>
      <c r="P23" s="15"/>
      <c r="Q23" s="16"/>
      <c r="R23" s="16"/>
      <c r="S23" s="17">
        <f>JAN!$Q23-JAN!$R23</f>
        <v>0</v>
      </c>
      <c r="U23" s="15"/>
      <c r="V23" s="16"/>
      <c r="W23" s="16"/>
      <c r="X23" s="17">
        <f>JAN!$V23-JAN!$W23</f>
        <v>0</v>
      </c>
      <c r="AM23" s="12" t="str">
        <f t="shared" si="0"/>
        <v/>
      </c>
      <c r="AN23" s="12">
        <f t="shared" si="5"/>
        <v>0</v>
      </c>
      <c r="AO23" s="12" t="s">
        <v>159</v>
      </c>
      <c r="AP23" s="12" t="str">
        <f>IFERROR(VLOOKUP(AN23,JAN!$K$23:$M$38,3,FALSE),"")</f>
        <v/>
      </c>
    </row>
    <row r="24" spans="2:42" ht="14.25" customHeight="1">
      <c r="B24" s="15"/>
      <c r="C24" s="16"/>
      <c r="D24" s="17"/>
      <c r="F24" s="15"/>
      <c r="G24" s="16"/>
      <c r="H24" s="16"/>
      <c r="I24" s="17">
        <f>JAN!$G24-JAN!$H24</f>
        <v>0</v>
      </c>
      <c r="K24" s="15"/>
      <c r="L24" s="16"/>
      <c r="M24" s="16"/>
      <c r="N24" s="17">
        <f>JAN!$L24-JAN!$M24</f>
        <v>0</v>
      </c>
      <c r="P24" s="15"/>
      <c r="Q24" s="16"/>
      <c r="R24" s="16"/>
      <c r="S24" s="17">
        <f>JAN!$Q24-JAN!$R24</f>
        <v>0</v>
      </c>
      <c r="U24" s="15"/>
      <c r="V24" s="16"/>
      <c r="W24" s="16"/>
      <c r="X24" s="17">
        <f>JAN!$V24-JAN!$W24</f>
        <v>0</v>
      </c>
      <c r="AM24" s="12" t="str">
        <f t="shared" si="0"/>
        <v/>
      </c>
      <c r="AN24" s="12">
        <f t="shared" si="5"/>
        <v>0</v>
      </c>
      <c r="AO24" s="12" t="s">
        <v>159</v>
      </c>
      <c r="AP24" s="12" t="str">
        <f>IFERROR(VLOOKUP(AN24,JAN!$K$23:$M$38,3,FALSE),"")</f>
        <v/>
      </c>
    </row>
    <row r="25" spans="2:42" ht="14.25" customHeight="1">
      <c r="B25" s="15"/>
      <c r="C25" s="16"/>
      <c r="D25" s="17"/>
      <c r="F25" s="15"/>
      <c r="G25" s="16"/>
      <c r="H25" s="16"/>
      <c r="I25" s="17">
        <f>JAN!$G25-JAN!$H25</f>
        <v>0</v>
      </c>
      <c r="K25" s="15"/>
      <c r="L25" s="16"/>
      <c r="M25" s="16"/>
      <c r="N25" s="17">
        <f>JAN!$L25-JAN!$M25</f>
        <v>0</v>
      </c>
      <c r="P25" s="15"/>
      <c r="Q25" s="16"/>
      <c r="R25" s="16"/>
      <c r="S25" s="17">
        <f>JAN!$Q25-JAN!$R25</f>
        <v>0</v>
      </c>
      <c r="U25" s="15"/>
      <c r="V25" s="16"/>
      <c r="W25" s="16"/>
      <c r="X25" s="17">
        <f>JAN!$V25-JAN!$W25</f>
        <v>0</v>
      </c>
      <c r="AM25" s="12" t="str">
        <f t="shared" si="0"/>
        <v/>
      </c>
      <c r="AN25" s="12">
        <f t="shared" si="5"/>
        <v>0</v>
      </c>
      <c r="AO25" s="12" t="s">
        <v>159</v>
      </c>
      <c r="AP25" s="12" t="str">
        <f>IFERROR(VLOOKUP(AN25,JAN!$K$23:$M$38,3,FALSE),"")</f>
        <v/>
      </c>
    </row>
    <row r="26" spans="2:42" ht="14.25" customHeight="1">
      <c r="B26" s="15"/>
      <c r="C26" s="16"/>
      <c r="D26" s="17"/>
      <c r="F26" s="15"/>
      <c r="G26" s="16"/>
      <c r="H26" s="16"/>
      <c r="I26" s="17">
        <f>JAN!$G26-JAN!$H26</f>
        <v>0</v>
      </c>
      <c r="K26" s="15"/>
      <c r="L26" s="16"/>
      <c r="M26" s="16"/>
      <c r="N26" s="17">
        <f>JAN!$L26-JAN!$M26</f>
        <v>0</v>
      </c>
      <c r="P26" s="15"/>
      <c r="Q26" s="16"/>
      <c r="R26" s="16"/>
      <c r="S26" s="17">
        <f>JAN!$Q26-JAN!$R26</f>
        <v>0</v>
      </c>
      <c r="U26" s="15"/>
      <c r="V26" s="16"/>
      <c r="W26" s="16"/>
      <c r="X26" s="17">
        <f>JAN!$V26-JAN!$W26</f>
        <v>0</v>
      </c>
      <c r="AM26" s="12" t="str">
        <f t="shared" si="0"/>
        <v/>
      </c>
      <c r="AN26" s="12">
        <f t="shared" si="5"/>
        <v>0</v>
      </c>
      <c r="AO26" s="12" t="s">
        <v>159</v>
      </c>
      <c r="AP26" s="12" t="str">
        <f>IFERROR(VLOOKUP(AN26,JAN!$K$23:$M$38,3,FALSE),"")</f>
        <v/>
      </c>
    </row>
    <row r="27" spans="2:42" ht="14.25" customHeight="1">
      <c r="B27" s="15"/>
      <c r="C27" s="16"/>
      <c r="D27" s="17"/>
      <c r="F27" s="15"/>
      <c r="G27" s="16"/>
      <c r="H27" s="16"/>
      <c r="I27" s="17">
        <f>JAN!$G27-JAN!$H27</f>
        <v>0</v>
      </c>
      <c r="K27" s="15"/>
      <c r="L27" s="16"/>
      <c r="M27" s="16"/>
      <c r="N27" s="17">
        <f>JAN!$L27-JAN!$M27</f>
        <v>0</v>
      </c>
      <c r="P27" s="15"/>
      <c r="Q27" s="16"/>
      <c r="R27" s="16"/>
      <c r="S27" s="17">
        <f>JAN!$Q27-JAN!$R27</f>
        <v>0</v>
      </c>
      <c r="U27" s="15"/>
      <c r="V27" s="16"/>
      <c r="W27" s="16"/>
      <c r="X27" s="17">
        <f>JAN!$V27-JAN!$W27</f>
        <v>0</v>
      </c>
      <c r="AM27" s="12" t="str">
        <f t="shared" si="0"/>
        <v/>
      </c>
      <c r="AN27" s="12">
        <f t="shared" si="5"/>
        <v>0</v>
      </c>
      <c r="AO27" s="12" t="s">
        <v>159</v>
      </c>
      <c r="AP27" s="12" t="str">
        <f>IFERROR(VLOOKUP(AN27,JAN!$K$23:$M$38,3,FALSE),"")</f>
        <v/>
      </c>
    </row>
    <row r="28" spans="2:42" ht="14.25" customHeight="1">
      <c r="B28" s="15"/>
      <c r="C28" s="16"/>
      <c r="D28" s="17"/>
      <c r="F28" s="15"/>
      <c r="G28" s="16"/>
      <c r="H28" s="16"/>
      <c r="I28" s="17">
        <f>JAN!$G28-JAN!$H28</f>
        <v>0</v>
      </c>
      <c r="K28" s="15"/>
      <c r="L28" s="16"/>
      <c r="M28" s="16"/>
      <c r="N28" s="17">
        <f>JAN!$L28-JAN!$M28</f>
        <v>0</v>
      </c>
      <c r="P28" s="15"/>
      <c r="Q28" s="16"/>
      <c r="R28" s="16"/>
      <c r="S28" s="17">
        <f>JAN!$Q28-JAN!$R28</f>
        <v>0</v>
      </c>
      <c r="U28" s="15"/>
      <c r="V28" s="16"/>
      <c r="W28" s="16"/>
      <c r="X28" s="17">
        <f>JAN!$V28-JAN!$W28</f>
        <v>0</v>
      </c>
      <c r="AM28" s="12" t="str">
        <f t="shared" si="0"/>
        <v/>
      </c>
      <c r="AN28" s="12">
        <f t="shared" si="5"/>
        <v>0</v>
      </c>
      <c r="AO28" s="12" t="s">
        <v>159</v>
      </c>
      <c r="AP28" s="12" t="str">
        <f>IFERROR(VLOOKUP(AN28,JAN!$K$23:$M$38,3,FALSE),"")</f>
        <v/>
      </c>
    </row>
    <row r="29" spans="2:42" ht="14.25" customHeight="1">
      <c r="B29" s="15"/>
      <c r="C29" s="16"/>
      <c r="D29" s="17"/>
      <c r="F29" s="15"/>
      <c r="G29" s="16"/>
      <c r="H29" s="16"/>
      <c r="I29" s="17">
        <f>JAN!$G29-JAN!$H29</f>
        <v>0</v>
      </c>
      <c r="K29" s="15"/>
      <c r="L29" s="16"/>
      <c r="M29" s="16"/>
      <c r="N29" s="17">
        <f>JAN!$L29-JAN!$M29</f>
        <v>0</v>
      </c>
      <c r="P29" s="15"/>
      <c r="Q29" s="16"/>
      <c r="R29" s="16"/>
      <c r="S29" s="17">
        <f>JAN!$Q29-JAN!$R29</f>
        <v>0</v>
      </c>
      <c r="U29" s="15"/>
      <c r="V29" s="16"/>
      <c r="W29" s="16"/>
      <c r="X29" s="17">
        <f>JAN!$V29-JAN!$W29</f>
        <v>0</v>
      </c>
      <c r="AM29" s="12" t="str">
        <f t="shared" si="0"/>
        <v/>
      </c>
      <c r="AN29" s="12">
        <f t="shared" si="5"/>
        <v>0</v>
      </c>
      <c r="AO29" s="12" t="s">
        <v>159</v>
      </c>
      <c r="AP29" s="12" t="str">
        <f>IFERROR(VLOOKUP(AN29,JAN!$K$23:$M$38,3,FALSE),"")</f>
        <v/>
      </c>
    </row>
    <row r="30" spans="2:42" ht="14.25" customHeight="1">
      <c r="B30" s="15"/>
      <c r="C30" s="16"/>
      <c r="D30" s="17"/>
      <c r="F30" s="15"/>
      <c r="G30" s="16"/>
      <c r="H30" s="16"/>
      <c r="I30" s="17">
        <f>JAN!$G30-JAN!$H30</f>
        <v>0</v>
      </c>
      <c r="K30" s="15"/>
      <c r="L30" s="16"/>
      <c r="M30" s="16"/>
      <c r="N30" s="17">
        <f>JAN!$L30-JAN!$M30</f>
        <v>0</v>
      </c>
      <c r="P30" s="15"/>
      <c r="Q30" s="16"/>
      <c r="R30" s="16"/>
      <c r="S30" s="17">
        <f>JAN!$Q30-JAN!$R30</f>
        <v>0</v>
      </c>
      <c r="U30" s="15"/>
      <c r="V30" s="16"/>
      <c r="W30" s="16"/>
      <c r="X30" s="17">
        <f>JAN!$V30-JAN!$W30</f>
        <v>0</v>
      </c>
      <c r="AM30" s="12" t="str">
        <f t="shared" si="0"/>
        <v/>
      </c>
      <c r="AN30" s="12">
        <f t="shared" si="5"/>
        <v>0</v>
      </c>
      <c r="AO30" s="12" t="s">
        <v>159</v>
      </c>
      <c r="AP30" s="12" t="str">
        <f>IFERROR(VLOOKUP(AN30,JAN!$K$23:$M$38,3,FALSE),"")</f>
        <v/>
      </c>
    </row>
    <row r="31" spans="2:42" ht="14.25" customHeight="1">
      <c r="B31" s="15"/>
      <c r="C31" s="16"/>
      <c r="D31" s="17"/>
      <c r="F31" s="15"/>
      <c r="G31" s="16"/>
      <c r="H31" s="16"/>
      <c r="I31" s="17">
        <f>JAN!$G31-JAN!$H31</f>
        <v>0</v>
      </c>
      <c r="K31" s="15"/>
      <c r="L31" s="16"/>
      <c r="M31" s="16"/>
      <c r="N31" s="17">
        <f>JAN!$L31-JAN!$M31</f>
        <v>0</v>
      </c>
      <c r="P31" s="15"/>
      <c r="Q31" s="16"/>
      <c r="R31" s="16"/>
      <c r="S31" s="17">
        <f>JAN!$Q31-JAN!$R31</f>
        <v>0</v>
      </c>
      <c r="U31" s="15"/>
      <c r="V31" s="16"/>
      <c r="W31" s="16"/>
      <c r="X31" s="17">
        <f>JAN!$V31-JAN!$W31</f>
        <v>0</v>
      </c>
      <c r="AM31" s="12" t="str">
        <f t="shared" si="0"/>
        <v/>
      </c>
      <c r="AN31" s="12">
        <f t="shared" si="5"/>
        <v>0</v>
      </c>
      <c r="AO31" s="12" t="s">
        <v>159</v>
      </c>
      <c r="AP31" s="12" t="str">
        <f>IFERROR(VLOOKUP(AN31,JAN!$K$23:$M$38,3,FALSE),"")</f>
        <v/>
      </c>
    </row>
    <row r="32" spans="2:42" ht="14.25" customHeight="1">
      <c r="B32" s="15"/>
      <c r="C32" s="16"/>
      <c r="D32" s="17"/>
      <c r="F32" s="15"/>
      <c r="G32" s="16"/>
      <c r="H32" s="16"/>
      <c r="I32" s="17">
        <f>JAN!$G32-JAN!$H32</f>
        <v>0</v>
      </c>
      <c r="K32" s="15"/>
      <c r="L32" s="16"/>
      <c r="M32" s="16"/>
      <c r="N32" s="17">
        <f>JAN!$L32-JAN!$M32</f>
        <v>0</v>
      </c>
      <c r="P32" s="15"/>
      <c r="Q32" s="16"/>
      <c r="R32" s="16"/>
      <c r="S32" s="17">
        <f>JAN!$Q32-JAN!$R32</f>
        <v>0</v>
      </c>
      <c r="U32" s="15"/>
      <c r="V32" s="16"/>
      <c r="W32" s="16"/>
      <c r="X32" s="17">
        <f>JAN!$V32-JAN!$W32</f>
        <v>0</v>
      </c>
      <c r="AM32" s="12" t="str">
        <f t="shared" si="0"/>
        <v/>
      </c>
      <c r="AN32" s="12">
        <f t="shared" si="5"/>
        <v>0</v>
      </c>
      <c r="AO32" s="12" t="s">
        <v>159</v>
      </c>
      <c r="AP32" s="12" t="str">
        <f>IFERROR(VLOOKUP(AN32,JAN!$K$23:$M$38,3,FALSE),"")</f>
        <v/>
      </c>
    </row>
    <row r="33" spans="2:42" ht="14.25" customHeight="1">
      <c r="B33" s="15"/>
      <c r="C33" s="16"/>
      <c r="D33" s="17"/>
      <c r="F33" s="15"/>
      <c r="G33" s="16"/>
      <c r="H33" s="16"/>
      <c r="I33" s="17">
        <f>JAN!$G33-JAN!$H33</f>
        <v>0</v>
      </c>
      <c r="K33" s="15"/>
      <c r="L33" s="16"/>
      <c r="M33" s="16"/>
      <c r="N33" s="17">
        <f>JAN!$L33-JAN!$M33</f>
        <v>0</v>
      </c>
      <c r="P33" s="15"/>
      <c r="Q33" s="16"/>
      <c r="R33" s="16"/>
      <c r="S33" s="17">
        <f>JAN!$Q33-JAN!$R33</f>
        <v>0</v>
      </c>
      <c r="U33" s="15"/>
      <c r="V33" s="16"/>
      <c r="W33" s="16"/>
      <c r="X33" s="17">
        <f>JAN!$V33-JAN!$W33</f>
        <v>0</v>
      </c>
      <c r="AM33" s="12" t="str">
        <f t="shared" si="0"/>
        <v/>
      </c>
      <c r="AN33" s="12">
        <f t="shared" si="5"/>
        <v>0</v>
      </c>
      <c r="AO33" s="12" t="s">
        <v>159</v>
      </c>
      <c r="AP33" s="12" t="str">
        <f>IFERROR(VLOOKUP(AN33,JAN!$K$23:$M$38,3,FALSE),"")</f>
        <v/>
      </c>
    </row>
    <row r="34" spans="2:42" ht="14.25" customHeight="1">
      <c r="B34" s="15"/>
      <c r="C34" s="16"/>
      <c r="D34" s="17"/>
      <c r="F34" s="15"/>
      <c r="G34" s="16"/>
      <c r="H34" s="16"/>
      <c r="I34" s="17">
        <f>JAN!$G34-JAN!$H34</f>
        <v>0</v>
      </c>
      <c r="K34" s="15"/>
      <c r="L34" s="16"/>
      <c r="M34" s="16"/>
      <c r="N34" s="17">
        <f>JAN!$L34-JAN!$M34</f>
        <v>0</v>
      </c>
      <c r="P34" s="15"/>
      <c r="Q34" s="16"/>
      <c r="R34" s="16"/>
      <c r="S34" s="17">
        <f>JAN!$Q34-JAN!$R34</f>
        <v>0</v>
      </c>
      <c r="U34" s="15"/>
      <c r="V34" s="16"/>
      <c r="W34" s="16"/>
      <c r="X34" s="17">
        <f>JAN!$V34-JAN!$W34</f>
        <v>0</v>
      </c>
      <c r="AM34" s="12" t="str">
        <f t="shared" si="0"/>
        <v/>
      </c>
      <c r="AN34" s="12">
        <f t="shared" si="5"/>
        <v>0</v>
      </c>
      <c r="AO34" s="12" t="s">
        <v>175</v>
      </c>
      <c r="AP34" s="12" t="str">
        <f>IFERROR(VLOOKUP(AN34,JAN!$K$23:$M$38,3,FALSE),"")</f>
        <v/>
      </c>
    </row>
    <row r="35" spans="2:42" ht="14.25" customHeight="1">
      <c r="B35" s="15"/>
      <c r="C35" s="16"/>
      <c r="D35" s="17"/>
      <c r="F35" s="15"/>
      <c r="G35" s="16"/>
      <c r="H35" s="16"/>
      <c r="I35" s="17">
        <f>JAN!$G35-JAN!$H35</f>
        <v>0</v>
      </c>
      <c r="K35" s="15"/>
      <c r="L35" s="16"/>
      <c r="M35" s="16"/>
      <c r="N35" s="17">
        <f>JAN!$L35-JAN!$M35</f>
        <v>0</v>
      </c>
      <c r="P35" s="15"/>
      <c r="Q35" s="16"/>
      <c r="R35" s="16"/>
      <c r="S35" s="17">
        <f>JAN!$Q35-JAN!$R35</f>
        <v>0</v>
      </c>
      <c r="U35" s="15"/>
      <c r="V35" s="16"/>
      <c r="W35" s="16"/>
      <c r="X35" s="17">
        <f>JAN!$V35-JAN!$W35</f>
        <v>0</v>
      </c>
      <c r="AM35" s="12" t="str">
        <f t="shared" si="0"/>
        <v/>
      </c>
      <c r="AN35" s="12">
        <f t="shared" ref="AN35:AN49" si="6">P23</f>
        <v>0</v>
      </c>
      <c r="AO35" s="12" t="s">
        <v>175</v>
      </c>
      <c r="AP35" s="12" t="str">
        <f>IFERROR(VLOOKUP(AN35,JAN!$P$23:$R$38,3,FALSE),"")</f>
        <v/>
      </c>
    </row>
    <row r="36" spans="2:42" ht="14.25" customHeight="1">
      <c r="B36" s="15"/>
      <c r="C36" s="16"/>
      <c r="D36" s="17"/>
      <c r="F36" s="15"/>
      <c r="G36" s="16"/>
      <c r="H36" s="16"/>
      <c r="I36" s="17">
        <f>JAN!$G36-JAN!$H36</f>
        <v>0</v>
      </c>
      <c r="K36" s="15"/>
      <c r="L36" s="16"/>
      <c r="M36" s="16"/>
      <c r="N36" s="17">
        <f>JAN!$L36-JAN!$M36</f>
        <v>0</v>
      </c>
      <c r="P36" s="15"/>
      <c r="Q36" s="16"/>
      <c r="R36" s="16"/>
      <c r="S36" s="17">
        <f>JAN!$Q36-JAN!$R36</f>
        <v>0</v>
      </c>
      <c r="U36" s="15"/>
      <c r="V36" s="16"/>
      <c r="W36" s="16"/>
      <c r="X36" s="17">
        <f>JAN!$V36-JAN!$W36</f>
        <v>0</v>
      </c>
      <c r="AM36" s="12" t="str">
        <f t="shared" si="0"/>
        <v/>
      </c>
      <c r="AN36" s="12">
        <f t="shared" si="6"/>
        <v>0</v>
      </c>
      <c r="AO36" s="12" t="s">
        <v>175</v>
      </c>
      <c r="AP36" s="12" t="str">
        <f>IFERROR(VLOOKUP(AN36,JAN!$P$23:$R$38,3,FALSE),"")</f>
        <v/>
      </c>
    </row>
    <row r="37" spans="2:42" ht="14.25" customHeight="1">
      <c r="B37" s="15"/>
      <c r="C37" s="16"/>
      <c r="D37" s="17"/>
      <c r="F37" s="15"/>
      <c r="G37" s="16"/>
      <c r="H37" s="16"/>
      <c r="I37" s="17">
        <f>JAN!$G37-JAN!$H37</f>
        <v>0</v>
      </c>
      <c r="K37" s="15"/>
      <c r="L37" s="16"/>
      <c r="M37" s="16"/>
      <c r="N37" s="17">
        <f>JAN!$L37-JAN!$M37</f>
        <v>0</v>
      </c>
      <c r="P37" s="15"/>
      <c r="Q37" s="16"/>
      <c r="R37" s="16"/>
      <c r="S37" s="17">
        <f>JAN!$Q37-JAN!$R37</f>
        <v>0</v>
      </c>
      <c r="U37" s="15"/>
      <c r="V37" s="16"/>
      <c r="W37" s="16"/>
      <c r="X37" s="17">
        <f>JAN!$V37-JAN!$W37</f>
        <v>0</v>
      </c>
      <c r="AM37" s="12" t="str">
        <f t="shared" si="0"/>
        <v/>
      </c>
      <c r="AN37" s="12">
        <f t="shared" si="6"/>
        <v>0</v>
      </c>
      <c r="AO37" s="12" t="s">
        <v>175</v>
      </c>
      <c r="AP37" s="12" t="str">
        <f>IFERROR(VLOOKUP(AN37,JAN!$P$23:$R$38,3,FALSE),"")</f>
        <v/>
      </c>
    </row>
    <row r="38" spans="2:42" ht="14.25" customHeight="1">
      <c r="B38" s="18"/>
      <c r="C38" s="19"/>
      <c r="D38" s="20"/>
      <c r="F38" s="18"/>
      <c r="G38" s="19"/>
      <c r="H38" s="19"/>
      <c r="I38" s="20">
        <f>JAN!$G38-JAN!$H38</f>
        <v>0</v>
      </c>
      <c r="K38" s="18"/>
      <c r="L38" s="19"/>
      <c r="M38" s="19"/>
      <c r="N38" s="20">
        <f>JAN!$L38-JAN!$M38</f>
        <v>0</v>
      </c>
      <c r="P38" s="18"/>
      <c r="Q38" s="19"/>
      <c r="R38" s="19"/>
      <c r="S38" s="20">
        <f>JAN!$Q38-JAN!$R38</f>
        <v>0</v>
      </c>
      <c r="U38" s="18"/>
      <c r="V38" s="19"/>
      <c r="W38" s="19"/>
      <c r="X38" s="20">
        <f>JAN!$V38-JAN!$W38</f>
        <v>0</v>
      </c>
      <c r="AM38" s="12" t="str">
        <f t="shared" si="0"/>
        <v/>
      </c>
      <c r="AN38" s="12">
        <f t="shared" si="6"/>
        <v>0</v>
      </c>
      <c r="AO38" s="12" t="s">
        <v>175</v>
      </c>
      <c r="AP38" s="12" t="str">
        <f>IFERROR(VLOOKUP(AN38,JAN!$P$23:$R$38,3,FALSE),"")</f>
        <v/>
      </c>
    </row>
    <row r="39" spans="2:42" ht="14.25" customHeight="1">
      <c r="AM39" s="12" t="str">
        <f t="shared" si="0"/>
        <v/>
      </c>
      <c r="AN39" s="12">
        <f t="shared" si="6"/>
        <v>0</v>
      </c>
      <c r="AO39" s="12" t="s">
        <v>175</v>
      </c>
      <c r="AP39" s="12" t="str">
        <f>IFERROR(VLOOKUP(AN39,JAN!$P$23:$R$38,3,FALSE),"")</f>
        <v/>
      </c>
    </row>
    <row r="40" spans="2:42" ht="14.25" customHeight="1">
      <c r="AM40" s="12" t="str">
        <f t="shared" si="0"/>
        <v/>
      </c>
      <c r="AN40" s="12">
        <f t="shared" si="6"/>
        <v>0</v>
      </c>
      <c r="AO40" s="12" t="s">
        <v>175</v>
      </c>
      <c r="AP40" s="12" t="str">
        <f>IFERROR(VLOOKUP(AN40,JAN!$P$23:$R$38,3,FALSE),"")</f>
        <v/>
      </c>
    </row>
    <row r="41" spans="2:42" ht="14.25" customHeight="1">
      <c r="AM41" s="12" t="str">
        <f t="shared" si="0"/>
        <v/>
      </c>
      <c r="AN41" s="12">
        <f t="shared" si="6"/>
        <v>0</v>
      </c>
      <c r="AO41" s="12" t="s">
        <v>175</v>
      </c>
      <c r="AP41" s="12" t="str">
        <f>IFERROR(VLOOKUP(AN41,JAN!$P$23:$R$38,3,FALSE),"")</f>
        <v/>
      </c>
    </row>
    <row r="42" spans="2:42" ht="14.25" customHeight="1">
      <c r="AM42" s="12" t="str">
        <f t="shared" si="0"/>
        <v/>
      </c>
      <c r="AN42" s="12">
        <f t="shared" si="6"/>
        <v>0</v>
      </c>
      <c r="AO42" s="12" t="s">
        <v>175</v>
      </c>
      <c r="AP42" s="12" t="str">
        <f>IFERROR(VLOOKUP(AN42,JAN!$P$23:$R$38,3,FALSE),"")</f>
        <v/>
      </c>
    </row>
    <row r="43" spans="2:42" ht="14.25" customHeight="1">
      <c r="AM43" s="12" t="str">
        <f t="shared" si="0"/>
        <v/>
      </c>
      <c r="AN43" s="12">
        <f t="shared" si="6"/>
        <v>0</v>
      </c>
      <c r="AO43" s="12" t="s">
        <v>175</v>
      </c>
      <c r="AP43" s="12" t="str">
        <f>IFERROR(VLOOKUP(AN43,JAN!$P$23:$R$38,3,FALSE),"")</f>
        <v/>
      </c>
    </row>
    <row r="44" spans="2:42" ht="14.25" customHeight="1">
      <c r="AM44" s="12" t="str">
        <f t="shared" si="0"/>
        <v/>
      </c>
      <c r="AN44" s="12">
        <f t="shared" si="6"/>
        <v>0</v>
      </c>
      <c r="AO44" s="12" t="s">
        <v>175</v>
      </c>
      <c r="AP44" s="12" t="str">
        <f>IFERROR(VLOOKUP(AN44,JAN!$P$23:$R$38,3,FALSE),"")</f>
        <v/>
      </c>
    </row>
    <row r="45" spans="2:42" ht="14.25" customHeight="1">
      <c r="AM45" s="12" t="str">
        <f t="shared" si="0"/>
        <v/>
      </c>
      <c r="AN45" s="12">
        <f t="shared" si="6"/>
        <v>0</v>
      </c>
      <c r="AO45" s="12" t="s">
        <v>175</v>
      </c>
      <c r="AP45" s="12" t="str">
        <f>IFERROR(VLOOKUP(AN45,JAN!$P$23:$R$38,3,FALSE),"")</f>
        <v/>
      </c>
    </row>
    <row r="46" spans="2:42" ht="14.25" customHeight="1">
      <c r="AM46" s="12" t="str">
        <f t="shared" si="0"/>
        <v/>
      </c>
      <c r="AN46" s="12">
        <f t="shared" si="6"/>
        <v>0</v>
      </c>
      <c r="AO46" s="12" t="s">
        <v>175</v>
      </c>
      <c r="AP46" s="12" t="str">
        <f>IFERROR(VLOOKUP(AN46,JAN!$P$23:$R$38,3,FALSE),"")</f>
        <v/>
      </c>
    </row>
    <row r="47" spans="2:42" ht="14.25" customHeight="1">
      <c r="AM47" s="12" t="str">
        <f t="shared" si="0"/>
        <v/>
      </c>
      <c r="AN47" s="12">
        <f t="shared" si="6"/>
        <v>0</v>
      </c>
      <c r="AO47" s="12" t="s">
        <v>175</v>
      </c>
      <c r="AP47" s="12" t="str">
        <f>IFERROR(VLOOKUP(AN47,JAN!$P$23:$R$38,3,FALSE),"")</f>
        <v/>
      </c>
    </row>
    <row r="48" spans="2:42" ht="14.25" customHeight="1">
      <c r="AM48" s="12" t="str">
        <f t="shared" si="0"/>
        <v/>
      </c>
      <c r="AN48" s="12">
        <f t="shared" si="6"/>
        <v>0</v>
      </c>
      <c r="AO48" s="12" t="s">
        <v>175</v>
      </c>
      <c r="AP48" s="12" t="str">
        <f>IFERROR(VLOOKUP(AN48,JAN!$P$23:$R$38,3,FALSE),"")</f>
        <v/>
      </c>
    </row>
    <row r="49" spans="39:42" ht="14.25" customHeight="1">
      <c r="AM49" s="12" t="str">
        <f t="shared" si="0"/>
        <v/>
      </c>
      <c r="AN49" s="12">
        <f t="shared" si="6"/>
        <v>0</v>
      </c>
      <c r="AO49" s="12" t="s">
        <v>161</v>
      </c>
      <c r="AP49" s="12" t="str">
        <f>IFERROR(VLOOKUP(AN49,JAN!$P$23:$R$38,3,FALSE),"")</f>
        <v/>
      </c>
    </row>
    <row r="50" spans="39:42" ht="14.25" customHeight="1">
      <c r="AM50" s="12" t="str">
        <f t="shared" si="0"/>
        <v/>
      </c>
      <c r="AN50" s="12">
        <f t="shared" ref="AN50:AN65" si="7">U23</f>
        <v>0</v>
      </c>
      <c r="AO50" s="12" t="s">
        <v>161</v>
      </c>
      <c r="AP50" s="12" t="str">
        <f>IFERROR(VLOOKUP(AN50,JAN!$U$23:$W$38,3,FALSE),"")</f>
        <v/>
      </c>
    </row>
    <row r="51" spans="39:42" ht="14.25" customHeight="1">
      <c r="AM51" s="12" t="str">
        <f t="shared" si="0"/>
        <v/>
      </c>
      <c r="AN51" s="12">
        <f t="shared" si="7"/>
        <v>0</v>
      </c>
      <c r="AO51" s="12" t="s">
        <v>161</v>
      </c>
      <c r="AP51" s="12" t="str">
        <f>IFERROR(VLOOKUP(AN51,JAN!$U$23:$W$38,3,FALSE),"")</f>
        <v/>
      </c>
    </row>
    <row r="52" spans="39:42" ht="14.25" customHeight="1">
      <c r="AM52" s="12" t="str">
        <f t="shared" si="0"/>
        <v/>
      </c>
      <c r="AN52" s="12">
        <f t="shared" si="7"/>
        <v>0</v>
      </c>
      <c r="AO52" s="12" t="s">
        <v>161</v>
      </c>
      <c r="AP52" s="12" t="str">
        <f>IFERROR(VLOOKUP(AN52,JAN!$U$23:$W$38,3,FALSE),"")</f>
        <v/>
      </c>
    </row>
    <row r="53" spans="39:42" ht="14.25" customHeight="1">
      <c r="AM53" s="12" t="str">
        <f t="shared" si="0"/>
        <v/>
      </c>
      <c r="AN53" s="12">
        <f t="shared" si="7"/>
        <v>0</v>
      </c>
      <c r="AO53" s="12" t="s">
        <v>161</v>
      </c>
      <c r="AP53" s="12" t="str">
        <f>IFERROR(VLOOKUP(AN53,JAN!$U$23:$W$38,3,FALSE),"")</f>
        <v/>
      </c>
    </row>
    <row r="54" spans="39:42" ht="14.25" customHeight="1">
      <c r="AM54" s="12" t="str">
        <f t="shared" si="0"/>
        <v/>
      </c>
      <c r="AN54" s="12">
        <f t="shared" si="7"/>
        <v>0</v>
      </c>
      <c r="AO54" s="12" t="s">
        <v>161</v>
      </c>
      <c r="AP54" s="12" t="str">
        <f>IFERROR(VLOOKUP(AN54,JAN!$U$23:$W$38,3,FALSE),"")</f>
        <v/>
      </c>
    </row>
    <row r="55" spans="39:42" ht="14.25" customHeight="1">
      <c r="AM55" s="12" t="str">
        <f t="shared" si="0"/>
        <v/>
      </c>
      <c r="AN55" s="12">
        <f t="shared" si="7"/>
        <v>0</v>
      </c>
      <c r="AO55" s="12" t="s">
        <v>161</v>
      </c>
      <c r="AP55" s="12" t="str">
        <f>IFERROR(VLOOKUP(AN55,JAN!$U$23:$W$38,3,FALSE),"")</f>
        <v/>
      </c>
    </row>
    <row r="56" spans="39:42" ht="14.25" customHeight="1">
      <c r="AM56" s="12" t="str">
        <f t="shared" si="0"/>
        <v/>
      </c>
      <c r="AN56" s="12">
        <f t="shared" si="7"/>
        <v>0</v>
      </c>
      <c r="AO56" s="12" t="s">
        <v>161</v>
      </c>
      <c r="AP56" s="12" t="str">
        <f>IFERROR(VLOOKUP(AN56,JAN!$U$23:$W$38,3,FALSE),"")</f>
        <v/>
      </c>
    </row>
    <row r="57" spans="39:42" ht="14.25" customHeight="1">
      <c r="AM57" s="12" t="str">
        <f t="shared" si="0"/>
        <v/>
      </c>
      <c r="AN57" s="12">
        <f t="shared" si="7"/>
        <v>0</v>
      </c>
      <c r="AO57" s="12" t="s">
        <v>161</v>
      </c>
      <c r="AP57" s="12" t="str">
        <f>IFERROR(VLOOKUP(AN57,JAN!$U$23:$W$38,3,FALSE),"")</f>
        <v/>
      </c>
    </row>
    <row r="58" spans="39:42" ht="14.25" customHeight="1">
      <c r="AM58" s="12" t="str">
        <f t="shared" si="0"/>
        <v/>
      </c>
      <c r="AN58" s="12">
        <f t="shared" si="7"/>
        <v>0</v>
      </c>
      <c r="AO58" s="12" t="s">
        <v>161</v>
      </c>
      <c r="AP58" s="12" t="str">
        <f>IFERROR(VLOOKUP(AN58,JAN!$U$23:$W$38,3,FALSE),"")</f>
        <v/>
      </c>
    </row>
    <row r="59" spans="39:42" ht="14.25" customHeight="1">
      <c r="AM59" s="12" t="str">
        <f t="shared" si="0"/>
        <v/>
      </c>
      <c r="AN59" s="12">
        <f t="shared" si="7"/>
        <v>0</v>
      </c>
      <c r="AO59" s="12" t="s">
        <v>161</v>
      </c>
      <c r="AP59" s="12" t="str">
        <f>IFERROR(VLOOKUP(AN59,JAN!$U$23:$W$38,3,FALSE),"")</f>
        <v/>
      </c>
    </row>
    <row r="60" spans="39:42" ht="14.25" customHeight="1">
      <c r="AM60" s="12" t="str">
        <f t="shared" si="0"/>
        <v/>
      </c>
      <c r="AN60" s="12">
        <f t="shared" si="7"/>
        <v>0</v>
      </c>
      <c r="AO60" s="12" t="s">
        <v>161</v>
      </c>
      <c r="AP60" s="12" t="str">
        <f>IFERROR(VLOOKUP(AN60,JAN!$U$23:$W$38,3,FALSE),"")</f>
        <v/>
      </c>
    </row>
    <row r="61" spans="39:42" ht="14.25" customHeight="1">
      <c r="AM61" s="12" t="str">
        <f t="shared" si="0"/>
        <v/>
      </c>
      <c r="AN61" s="12">
        <f t="shared" si="7"/>
        <v>0</v>
      </c>
      <c r="AO61" s="12" t="s">
        <v>161</v>
      </c>
      <c r="AP61" s="12" t="str">
        <f>IFERROR(VLOOKUP(AN61,JAN!$U$23:$W$38,3,FALSE),"")</f>
        <v/>
      </c>
    </row>
    <row r="62" spans="39:42" ht="14.25" customHeight="1">
      <c r="AM62" s="12" t="str">
        <f t="shared" si="0"/>
        <v/>
      </c>
      <c r="AN62" s="12">
        <f t="shared" si="7"/>
        <v>0</v>
      </c>
      <c r="AO62" s="12" t="s">
        <v>161</v>
      </c>
      <c r="AP62" s="12" t="str">
        <f>IFERROR(VLOOKUP(AN62,JAN!$U$23:$W$38,3,FALSE),"")</f>
        <v/>
      </c>
    </row>
    <row r="63" spans="39:42" ht="14.25" customHeight="1">
      <c r="AM63" s="12" t="str">
        <f t="shared" si="0"/>
        <v/>
      </c>
      <c r="AN63" s="12">
        <f t="shared" si="7"/>
        <v>0</v>
      </c>
      <c r="AO63" s="12" t="s">
        <v>161</v>
      </c>
      <c r="AP63" s="12" t="str">
        <f>IFERROR(VLOOKUP(AN63,JAN!$U$23:$W$38,3,FALSE),"")</f>
        <v/>
      </c>
    </row>
    <row r="64" spans="39:42" ht="14.25" customHeight="1">
      <c r="AM64" s="12" t="str">
        <f t="shared" si="0"/>
        <v/>
      </c>
      <c r="AN64" s="12">
        <f t="shared" si="7"/>
        <v>0</v>
      </c>
      <c r="AO64" s="12" t="s">
        <v>161</v>
      </c>
      <c r="AP64" s="12" t="str">
        <f>IFERROR(VLOOKUP(AN64,JAN!$U$23:$W$38,3,FALSE),"")</f>
        <v/>
      </c>
    </row>
    <row r="65" spans="39:42" ht="14.25" customHeight="1">
      <c r="AM65" s="12" t="str">
        <f t="shared" si="0"/>
        <v/>
      </c>
      <c r="AN65" s="12">
        <f t="shared" si="7"/>
        <v>0</v>
      </c>
      <c r="AO65" s="12" t="s">
        <v>161</v>
      </c>
      <c r="AP65" s="12" t="str">
        <f>IFERROR(VLOOKUP(AN65,JAN!$U$23:$W$38,3,FALSE),"")</f>
        <v/>
      </c>
    </row>
    <row r="66" spans="39:42" ht="14.25" customHeight="1"/>
    <row r="67" spans="39:42" ht="14.25" customHeight="1"/>
    <row r="68" spans="39:42" ht="14.25" customHeight="1"/>
    <row r="69" spans="39:42" ht="14.25" customHeight="1"/>
    <row r="70" spans="39:42" ht="14.25" customHeight="1"/>
    <row r="71" spans="39:42" ht="14.25" customHeight="1"/>
    <row r="72" spans="39:42" ht="14.25" customHeight="1"/>
    <row r="73" spans="39:42" ht="14.25" customHeight="1"/>
    <row r="74" spans="39:42" ht="14.25" customHeight="1"/>
    <row r="75" spans="39:42" ht="14.25" customHeight="1"/>
    <row r="76" spans="39:42" ht="14.25" customHeight="1"/>
    <row r="77" spans="39:42" ht="14.25" customHeight="1"/>
    <row r="78" spans="39:42" ht="14.25" customHeight="1"/>
    <row r="79" spans="39:42" ht="14.25" customHeight="1"/>
    <row r="80" spans="39:4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N2:AP65" xr:uid="{00000000-0009-0000-0000-000002000000}"/>
  <mergeCells count="18">
    <mergeCell ref="B2:D4"/>
    <mergeCell ref="F2:H3"/>
    <mergeCell ref="J2:L3"/>
    <mergeCell ref="R2:T3"/>
    <mergeCell ref="F4:H5"/>
    <mergeCell ref="J4:L5"/>
    <mergeCell ref="R4:T5"/>
    <mergeCell ref="B5:D5"/>
    <mergeCell ref="B7:D9"/>
    <mergeCell ref="B20:D21"/>
    <mergeCell ref="F20:I21"/>
    <mergeCell ref="K20:N21"/>
    <mergeCell ref="N2:P3"/>
    <mergeCell ref="N4:P5"/>
    <mergeCell ref="V2:X3"/>
    <mergeCell ref="V4:X5"/>
    <mergeCell ref="U20:X21"/>
    <mergeCell ref="P20:S21"/>
  </mergeCells>
  <pageMargins left="0.7" right="0.7" top="0.75" bottom="0.75" header="0" footer="0"/>
  <pageSetup orientation="landscape"/>
  <drawing r:id="rId1"/>
  <tableParts count="5">
    <tablePart r:id="rId2"/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200-000000000000}">
          <x14:formula1>
            <xm:f>lists!$D$2:$D$21</xm:f>
          </x14:formula1>
          <xm:sqref>P23:P38</xm:sqref>
        </x14:dataValidation>
        <x14:dataValidation type="list" allowBlank="1" showErrorMessage="1" xr:uid="{00000000-0002-0000-0200-000001000000}">
          <x14:formula1>
            <xm:f>lists!$A$2:$A$35</xm:f>
          </x14:formula1>
          <xm:sqref>B23:B38</xm:sqref>
        </x14:dataValidation>
        <x14:dataValidation type="list" allowBlank="1" showErrorMessage="1" xr:uid="{00000000-0002-0000-0200-000002000000}">
          <x14:formula1>
            <xm:f>lists!$B$2:$B$24</xm:f>
          </x14:formula1>
          <xm:sqref>F23:F38</xm:sqref>
        </x14:dataValidation>
        <x14:dataValidation type="list" allowBlank="1" showErrorMessage="1" xr:uid="{00000000-0002-0000-0200-000003000000}">
          <x14:formula1>
            <xm:f>lists!$E$2:$E$25</xm:f>
          </x14:formula1>
          <xm:sqref>U23:U38</xm:sqref>
        </x14:dataValidation>
        <x14:dataValidation type="list" allowBlank="1" showErrorMessage="1" xr:uid="{00000000-0002-0000-0200-000004000000}">
          <x14:formula1>
            <xm:f>lists!$C$2:$C$32</xm:f>
          </x14:formula1>
          <xm:sqref>K23:K38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FFFF"/>
  </sheetPr>
  <dimension ref="B1:AP1000"/>
  <sheetViews>
    <sheetView workbookViewId="0"/>
  </sheetViews>
  <sheetFormatPr defaultColWidth="14.3984375" defaultRowHeight="15" customHeight="1"/>
  <cols>
    <col min="1" max="1" width="3.3984375" customWidth="1"/>
    <col min="2" max="2" width="14.265625" customWidth="1"/>
    <col min="3" max="3" width="14.3984375" customWidth="1"/>
    <col min="4" max="4" width="15.3984375" customWidth="1"/>
    <col min="5" max="5" width="4.3984375" customWidth="1"/>
    <col min="6" max="6" width="12.1328125" customWidth="1"/>
    <col min="7" max="8" width="12.73046875" customWidth="1"/>
    <col min="9" max="9" width="11.73046875" customWidth="1"/>
    <col min="10" max="10" width="8.73046875" customWidth="1"/>
    <col min="11" max="11" width="10.1328125" customWidth="1"/>
    <col min="12" max="13" width="11.86328125" customWidth="1"/>
    <col min="14" max="14" width="11.73046875" customWidth="1"/>
    <col min="15" max="15" width="8.73046875" customWidth="1"/>
    <col min="16" max="16" width="13.86328125" customWidth="1"/>
    <col min="17" max="18" width="11.86328125" customWidth="1"/>
    <col min="19" max="19" width="11.73046875" customWidth="1"/>
    <col min="20" max="20" width="8.73046875" customWidth="1"/>
    <col min="21" max="21" width="16.265625" customWidth="1"/>
    <col min="22" max="22" width="13" customWidth="1"/>
    <col min="23" max="23" width="17.1328125" customWidth="1"/>
    <col min="24" max="24" width="13.86328125" customWidth="1"/>
    <col min="25" max="37" width="8.73046875" customWidth="1"/>
    <col min="38" max="39" width="8.73046875" hidden="1" customWidth="1"/>
    <col min="40" max="40" width="17.53125" hidden="1" customWidth="1"/>
    <col min="41" max="41" width="12.3984375" hidden="1" customWidth="1"/>
    <col min="42" max="42" width="14.86328125" hidden="1" customWidth="1"/>
  </cols>
  <sheetData>
    <row r="1" spans="2:42" ht="14.25" customHeight="1"/>
    <row r="2" spans="2:42" ht="19.5" customHeight="1">
      <c r="B2" s="50" t="s">
        <v>176</v>
      </c>
      <c r="C2" s="30"/>
      <c r="D2" s="25"/>
      <c r="F2" s="29" t="s">
        <v>157</v>
      </c>
      <c r="G2" s="30"/>
      <c r="H2" s="25"/>
      <c r="J2" s="29" t="s">
        <v>158</v>
      </c>
      <c r="K2" s="30"/>
      <c r="L2" s="25"/>
      <c r="N2" s="29" t="s">
        <v>159</v>
      </c>
      <c r="O2" s="30"/>
      <c r="P2" s="25"/>
      <c r="R2" s="49" t="s">
        <v>160</v>
      </c>
      <c r="S2" s="30"/>
      <c r="T2" s="25"/>
      <c r="V2" s="33" t="s">
        <v>161</v>
      </c>
      <c r="W2" s="30"/>
      <c r="X2" s="25"/>
      <c r="AM2" s="11" t="s">
        <v>162</v>
      </c>
      <c r="AN2" s="11" t="s">
        <v>163</v>
      </c>
      <c r="AO2" s="11" t="s">
        <v>164</v>
      </c>
      <c r="AP2" s="11" t="s">
        <v>165</v>
      </c>
    </row>
    <row r="3" spans="2:42" ht="19.5" customHeight="1">
      <c r="B3" s="51"/>
      <c r="C3" s="45"/>
      <c r="D3" s="52"/>
      <c r="F3" s="26"/>
      <c r="G3" s="31"/>
      <c r="H3" s="27"/>
      <c r="J3" s="26"/>
      <c r="K3" s="31"/>
      <c r="L3" s="27"/>
      <c r="N3" s="26"/>
      <c r="O3" s="31"/>
      <c r="P3" s="27"/>
      <c r="R3" s="26"/>
      <c r="S3" s="31"/>
      <c r="T3" s="27"/>
      <c r="V3" s="26"/>
      <c r="W3" s="31"/>
      <c r="X3" s="27"/>
      <c r="AM3" s="12" t="str">
        <f t="shared" ref="AM3:AM65" si="0">IFERROR(_xlfn.RANK.EQ(AP3, $AP$3:$AP$150)+ COUNTIFS($AP$3:AP3, AP3) - 1,"")</f>
        <v/>
      </c>
      <c r="AN3" s="12">
        <f t="shared" ref="AN3:AN18" si="1">F23</f>
        <v>0</v>
      </c>
      <c r="AO3" s="12" t="s">
        <v>158</v>
      </c>
      <c r="AP3" s="12" t="str">
        <f>IFERROR(VLOOKUP(AN3,FEB!$F$23:$H$38,3,FALSE),"")</f>
        <v/>
      </c>
    </row>
    <row r="4" spans="2:42" ht="19.5" customHeight="1">
      <c r="B4" s="35"/>
      <c r="C4" s="36"/>
      <c r="D4" s="37"/>
      <c r="F4" s="32">
        <f>SUM(FEB!$D$23:$D$38)</f>
        <v>0</v>
      </c>
      <c r="G4" s="30"/>
      <c r="H4" s="25"/>
      <c r="J4" s="32">
        <f>SUM(FEB!$H$23:$H$38)</f>
        <v>0</v>
      </c>
      <c r="K4" s="30"/>
      <c r="L4" s="25"/>
      <c r="N4" s="32">
        <f>SUM(FEB!$M$23:$M$38)</f>
        <v>0</v>
      </c>
      <c r="O4" s="30"/>
      <c r="P4" s="25"/>
      <c r="R4" s="32">
        <f>SUM(FEB!$R$23:$R$38)</f>
        <v>0</v>
      </c>
      <c r="S4" s="30"/>
      <c r="T4" s="25"/>
      <c r="V4" s="32">
        <f>SUM(FEB!$W$23:$W$38)</f>
        <v>0</v>
      </c>
      <c r="W4" s="30"/>
      <c r="X4" s="25"/>
      <c r="AM4" s="12" t="str">
        <f t="shared" si="0"/>
        <v/>
      </c>
      <c r="AN4" s="12">
        <f t="shared" si="1"/>
        <v>0</v>
      </c>
      <c r="AO4" s="12" t="s">
        <v>158</v>
      </c>
      <c r="AP4" s="12" t="str">
        <f>IFERROR(VLOOKUP(AN4,FEB!$F$23:$H$38,3,FALSE),"")</f>
        <v/>
      </c>
    </row>
    <row r="5" spans="2:42" ht="21.75" customHeight="1">
      <c r="B5" s="38" t="s">
        <v>166</v>
      </c>
      <c r="C5" s="39"/>
      <c r="D5" s="40"/>
      <c r="F5" s="26"/>
      <c r="G5" s="31"/>
      <c r="H5" s="27"/>
      <c r="J5" s="26"/>
      <c r="K5" s="31"/>
      <c r="L5" s="27"/>
      <c r="N5" s="26"/>
      <c r="O5" s="31"/>
      <c r="P5" s="27"/>
      <c r="R5" s="26"/>
      <c r="S5" s="31"/>
      <c r="T5" s="27"/>
      <c r="V5" s="26"/>
      <c r="W5" s="31"/>
      <c r="X5" s="27"/>
      <c r="AM5" s="12" t="str">
        <f t="shared" si="0"/>
        <v/>
      </c>
      <c r="AN5" s="12">
        <f t="shared" si="1"/>
        <v>0</v>
      </c>
      <c r="AO5" s="12" t="s">
        <v>158</v>
      </c>
      <c r="AP5" s="12" t="str">
        <f>IFERROR(VLOOKUP(AN5,FEB!$F$23:$H$38,3,FALSE),"")</f>
        <v/>
      </c>
    </row>
    <row r="6" spans="2:42" ht="14.25" customHeight="1">
      <c r="AM6" s="12" t="str">
        <f t="shared" si="0"/>
        <v/>
      </c>
      <c r="AN6" s="12">
        <f t="shared" si="1"/>
        <v>0</v>
      </c>
      <c r="AO6" s="12" t="s">
        <v>158</v>
      </c>
      <c r="AP6" s="12" t="str">
        <f>IFERROR(VLOOKUP(AN6,FEB!$F$23:$H$38,3,FALSE),"")</f>
        <v/>
      </c>
    </row>
    <row r="7" spans="2:42" ht="13.5" customHeight="1">
      <c r="B7" s="41" t="s">
        <v>167</v>
      </c>
      <c r="C7" s="42"/>
      <c r="D7" s="43"/>
      <c r="V7" s="13" t="s">
        <v>168</v>
      </c>
      <c r="W7" s="13" t="s">
        <v>163</v>
      </c>
      <c r="X7" s="13" t="s">
        <v>169</v>
      </c>
      <c r="AM7" s="12" t="str">
        <f t="shared" si="0"/>
        <v/>
      </c>
      <c r="AN7" s="12">
        <f t="shared" si="1"/>
        <v>0</v>
      </c>
      <c r="AO7" s="12" t="s">
        <v>158</v>
      </c>
      <c r="AP7" s="12" t="str">
        <f>IFERROR(VLOOKUP(AN7,FEB!$F$23:$H$38,3,FALSE),"")</f>
        <v/>
      </c>
    </row>
    <row r="8" spans="2:42" ht="13.5" customHeight="1">
      <c r="B8" s="44"/>
      <c r="C8" s="45"/>
      <c r="D8" s="46"/>
      <c r="V8" s="12">
        <v>1</v>
      </c>
      <c r="W8" s="12" t="str">
        <f t="shared" ref="W8:W18" si="2">IFERROR(VLOOKUP(V8,$AM$3:$AP$65,2,FALSE),"")</f>
        <v/>
      </c>
      <c r="X8" s="12" t="str">
        <f t="shared" ref="X8:X18" si="3">IFERROR(VLOOKUP(V8,$AM$3:$AP$65,4,FALSE),"")</f>
        <v/>
      </c>
      <c r="AM8" s="12" t="str">
        <f t="shared" si="0"/>
        <v/>
      </c>
      <c r="AN8" s="12">
        <f t="shared" si="1"/>
        <v>0</v>
      </c>
      <c r="AO8" s="12" t="s">
        <v>158</v>
      </c>
      <c r="AP8" s="12" t="str">
        <f>IFERROR(VLOOKUP(AN8,FEB!$F$23:$H$38,3,FALSE),"")</f>
        <v/>
      </c>
    </row>
    <row r="9" spans="2:42" ht="13.5" customHeight="1">
      <c r="B9" s="47"/>
      <c r="C9" s="31"/>
      <c r="D9" s="48"/>
      <c r="V9" s="12">
        <v>2</v>
      </c>
      <c r="W9" s="12" t="str">
        <f t="shared" si="2"/>
        <v/>
      </c>
      <c r="X9" s="12" t="str">
        <f t="shared" si="3"/>
        <v/>
      </c>
      <c r="AM9" s="12" t="str">
        <f t="shared" si="0"/>
        <v/>
      </c>
      <c r="AN9" s="12">
        <f t="shared" si="1"/>
        <v>0</v>
      </c>
      <c r="AO9" s="12" t="s">
        <v>158</v>
      </c>
      <c r="AP9" s="12" t="str">
        <f>IFERROR(VLOOKUP(AN9,FEB!$F$23:$H$38,3,FALSE),"")</f>
        <v/>
      </c>
    </row>
    <row r="10" spans="2:42" ht="13.5" customHeight="1">
      <c r="B10" s="14"/>
      <c r="C10" s="14" t="s">
        <v>170</v>
      </c>
      <c r="D10" s="14" t="s">
        <v>171</v>
      </c>
      <c r="V10" s="12">
        <v>3</v>
      </c>
      <c r="W10" s="12" t="str">
        <f t="shared" si="2"/>
        <v/>
      </c>
      <c r="X10" s="12" t="str">
        <f t="shared" si="3"/>
        <v/>
      </c>
      <c r="AM10" s="12" t="str">
        <f t="shared" si="0"/>
        <v/>
      </c>
      <c r="AN10" s="12">
        <f t="shared" si="1"/>
        <v>0</v>
      </c>
      <c r="AO10" s="12" t="s">
        <v>158</v>
      </c>
      <c r="AP10" s="12" t="str">
        <f>IFERROR(VLOOKUP(AN10,FEB!$F$23:$H$38,3,FALSE),"")</f>
        <v/>
      </c>
    </row>
    <row r="11" spans="2:42" ht="13.5" customHeight="1">
      <c r="B11" s="15" t="s">
        <v>157</v>
      </c>
      <c r="C11" s="16">
        <f>SUM(FEB!$C$23:$C$38)</f>
        <v>0</v>
      </c>
      <c r="D11" s="17">
        <f>SUM(FEB!$D$23:$D$38)</f>
        <v>0</v>
      </c>
      <c r="V11" s="12">
        <v>4</v>
      </c>
      <c r="W11" s="12" t="str">
        <f t="shared" si="2"/>
        <v/>
      </c>
      <c r="X11" s="12" t="str">
        <f t="shared" si="3"/>
        <v/>
      </c>
      <c r="AM11" s="12" t="str">
        <f t="shared" si="0"/>
        <v/>
      </c>
      <c r="AN11" s="12">
        <f t="shared" si="1"/>
        <v>0</v>
      </c>
      <c r="AO11" s="12" t="s">
        <v>158</v>
      </c>
      <c r="AP11" s="12" t="str">
        <f>IFERROR(VLOOKUP(AN11,FEB!$F$23:$H$38,3,FALSE),"")</f>
        <v/>
      </c>
    </row>
    <row r="12" spans="2:42" ht="13.5" customHeight="1">
      <c r="B12" s="15" t="s">
        <v>158</v>
      </c>
      <c r="C12" s="16">
        <f>SUM(FEB!$G$23:$G$38)</f>
        <v>0</v>
      </c>
      <c r="D12" s="17">
        <f>SUM(FEB!$H$23:$H$38)</f>
        <v>0</v>
      </c>
      <c r="V12" s="12">
        <v>5</v>
      </c>
      <c r="W12" s="12" t="str">
        <f t="shared" si="2"/>
        <v/>
      </c>
      <c r="X12" s="12" t="str">
        <f t="shared" si="3"/>
        <v/>
      </c>
      <c r="AM12" s="12" t="str">
        <f t="shared" si="0"/>
        <v/>
      </c>
      <c r="AN12" s="12">
        <f t="shared" si="1"/>
        <v>0</v>
      </c>
      <c r="AO12" s="12" t="s">
        <v>158</v>
      </c>
      <c r="AP12" s="12" t="str">
        <f>IFERROR(VLOOKUP(AN12,FEB!$F$23:$H$38,3,FALSE),"")</f>
        <v/>
      </c>
    </row>
    <row r="13" spans="2:42" ht="13.5" customHeight="1">
      <c r="B13" s="15" t="s">
        <v>159</v>
      </c>
      <c r="C13" s="16">
        <f>SUM(FEB!$L$23:$L$38)</f>
        <v>0</v>
      </c>
      <c r="D13" s="17">
        <f>SUM(FEB!$M$23:$M$38)</f>
        <v>0</v>
      </c>
      <c r="V13" s="12">
        <v>6</v>
      </c>
      <c r="W13" s="12" t="str">
        <f t="shared" si="2"/>
        <v/>
      </c>
      <c r="X13" s="12" t="str">
        <f t="shared" si="3"/>
        <v/>
      </c>
      <c r="AM13" s="12" t="str">
        <f t="shared" si="0"/>
        <v/>
      </c>
      <c r="AN13" s="12">
        <f t="shared" si="1"/>
        <v>0</v>
      </c>
      <c r="AO13" s="12" t="s">
        <v>158</v>
      </c>
      <c r="AP13" s="12" t="str">
        <f>IFERROR(VLOOKUP(AN13,FEB!$F$23:$H$38,3,FALSE),"")</f>
        <v/>
      </c>
    </row>
    <row r="14" spans="2:42" ht="13.5" customHeight="1">
      <c r="B14" s="15" t="s">
        <v>160</v>
      </c>
      <c r="C14" s="16">
        <f>SUM(FEB!$Q$23:$Q$38)</f>
        <v>0</v>
      </c>
      <c r="D14" s="17">
        <f>SUM(FEB!$R$23:$R$38)</f>
        <v>0</v>
      </c>
      <c r="V14" s="12">
        <v>7</v>
      </c>
      <c r="W14" s="12" t="str">
        <f t="shared" si="2"/>
        <v/>
      </c>
      <c r="X14" s="12" t="str">
        <f t="shared" si="3"/>
        <v/>
      </c>
      <c r="AM14" s="12" t="str">
        <f t="shared" si="0"/>
        <v/>
      </c>
      <c r="AN14" s="12">
        <f t="shared" si="1"/>
        <v>0</v>
      </c>
      <c r="AO14" s="12" t="s">
        <v>158</v>
      </c>
      <c r="AP14" s="12" t="str">
        <f>IFERROR(VLOOKUP(AN14,FEB!$F$23:$H$38,3,FALSE),"")</f>
        <v/>
      </c>
    </row>
    <row r="15" spans="2:42" ht="13.5" customHeight="1">
      <c r="B15" s="18" t="s">
        <v>161</v>
      </c>
      <c r="C15" s="19">
        <f>SUM(FEB!$V$23:$V$38)</f>
        <v>0</v>
      </c>
      <c r="D15" s="20">
        <f>SUM(FEB!$W$23:$W$38)</f>
        <v>0</v>
      </c>
      <c r="V15" s="12">
        <v>8</v>
      </c>
      <c r="W15" s="12" t="str">
        <f t="shared" si="2"/>
        <v/>
      </c>
      <c r="X15" s="12" t="str">
        <f t="shared" si="3"/>
        <v/>
      </c>
      <c r="AM15" s="12" t="str">
        <f t="shared" si="0"/>
        <v/>
      </c>
      <c r="AN15" s="12">
        <f t="shared" si="1"/>
        <v>0</v>
      </c>
      <c r="AO15" s="12" t="s">
        <v>158</v>
      </c>
      <c r="AP15" s="12" t="str">
        <f>IFERROR(VLOOKUP(AN15,FEB!$F$23:$H$38,3,FALSE),"")</f>
        <v/>
      </c>
    </row>
    <row r="16" spans="2:42" ht="13.5" customHeight="1">
      <c r="B16" s="21" t="s">
        <v>172</v>
      </c>
      <c r="C16" s="22">
        <f t="shared" ref="C16:D16" si="4">(C11-SUM(C12:C15))</f>
        <v>0</v>
      </c>
      <c r="D16" s="22">
        <f t="shared" si="4"/>
        <v>0</v>
      </c>
      <c r="V16" s="12">
        <v>9</v>
      </c>
      <c r="W16" s="12" t="str">
        <f t="shared" si="2"/>
        <v/>
      </c>
      <c r="X16" s="12" t="str">
        <f t="shared" si="3"/>
        <v/>
      </c>
      <c r="AM16" s="12" t="str">
        <f t="shared" si="0"/>
        <v/>
      </c>
      <c r="AN16" s="12">
        <f t="shared" si="1"/>
        <v>0</v>
      </c>
      <c r="AO16" s="12" t="s">
        <v>158</v>
      </c>
      <c r="AP16" s="12" t="str">
        <f>IFERROR(VLOOKUP(AN16,FEB!$F$23:$H$38,3,FALSE),"")</f>
        <v/>
      </c>
    </row>
    <row r="17" spans="2:42" ht="13.5" customHeight="1">
      <c r="C17" s="16"/>
      <c r="D17" s="16"/>
      <c r="V17" s="12">
        <v>10</v>
      </c>
      <c r="W17" s="12" t="str">
        <f t="shared" si="2"/>
        <v/>
      </c>
      <c r="X17" s="12" t="str">
        <f t="shared" si="3"/>
        <v/>
      </c>
      <c r="AM17" s="12" t="str">
        <f t="shared" si="0"/>
        <v/>
      </c>
      <c r="AN17" s="12">
        <f t="shared" si="1"/>
        <v>0</v>
      </c>
      <c r="AO17" s="12" t="s">
        <v>158</v>
      </c>
      <c r="AP17" s="12" t="str">
        <f>IFERROR(VLOOKUP(AN17,FEB!$F$23:$H$38,3,FALSE),"")</f>
        <v/>
      </c>
    </row>
    <row r="18" spans="2:42" ht="13.5" customHeight="1">
      <c r="V18" s="12">
        <v>11</v>
      </c>
      <c r="W18" s="12" t="str">
        <f t="shared" si="2"/>
        <v/>
      </c>
      <c r="X18" s="12" t="str">
        <f t="shared" si="3"/>
        <v/>
      </c>
      <c r="AM18" s="12" t="str">
        <f t="shared" si="0"/>
        <v/>
      </c>
      <c r="AN18" s="12">
        <f t="shared" si="1"/>
        <v>0</v>
      </c>
      <c r="AO18" s="12" t="s">
        <v>158</v>
      </c>
      <c r="AP18" s="12" t="str">
        <f>IFERROR(VLOOKUP(AN18,FEB!$F$23:$H$38,3,FALSE),"")</f>
        <v/>
      </c>
    </row>
    <row r="19" spans="2:42" ht="14.25" customHeight="1">
      <c r="AM19" s="12" t="str">
        <f t="shared" si="0"/>
        <v/>
      </c>
      <c r="AN19" s="12">
        <f t="shared" ref="AN19:AN34" si="5">K23</f>
        <v>0</v>
      </c>
      <c r="AO19" s="12" t="s">
        <v>159</v>
      </c>
      <c r="AP19" s="12" t="str">
        <f>IFERROR(VLOOKUP(AN19,FEB!$K$23:$M$38,3,FALSE),"")</f>
        <v/>
      </c>
    </row>
    <row r="20" spans="2:42" ht="14.25" customHeight="1">
      <c r="B20" s="29" t="s">
        <v>157</v>
      </c>
      <c r="C20" s="30"/>
      <c r="D20" s="25"/>
      <c r="F20" s="29" t="s">
        <v>158</v>
      </c>
      <c r="G20" s="30"/>
      <c r="H20" s="30"/>
      <c r="I20" s="25"/>
      <c r="K20" s="29" t="s">
        <v>159</v>
      </c>
      <c r="L20" s="30"/>
      <c r="M20" s="30"/>
      <c r="N20" s="25"/>
      <c r="P20" s="49" t="s">
        <v>160</v>
      </c>
      <c r="Q20" s="30"/>
      <c r="R20" s="30"/>
      <c r="S20" s="25"/>
      <c r="U20" s="34" t="s">
        <v>161</v>
      </c>
      <c r="V20" s="30"/>
      <c r="W20" s="30"/>
      <c r="X20" s="25"/>
      <c r="AM20" s="12" t="str">
        <f t="shared" si="0"/>
        <v/>
      </c>
      <c r="AN20" s="12">
        <f t="shared" si="5"/>
        <v>0</v>
      </c>
      <c r="AO20" s="12" t="s">
        <v>159</v>
      </c>
      <c r="AP20" s="12" t="str">
        <f>IFERROR(VLOOKUP(AN20,FEB!$K$23:$M$38,3,FALSE),"")</f>
        <v/>
      </c>
    </row>
    <row r="21" spans="2:42" ht="14.25" customHeight="1">
      <c r="B21" s="35"/>
      <c r="C21" s="36"/>
      <c r="D21" s="37"/>
      <c r="F21" s="35"/>
      <c r="G21" s="36"/>
      <c r="H21" s="36"/>
      <c r="I21" s="37"/>
      <c r="K21" s="35"/>
      <c r="L21" s="36"/>
      <c r="M21" s="36"/>
      <c r="N21" s="37"/>
      <c r="P21" s="35"/>
      <c r="Q21" s="36"/>
      <c r="R21" s="36"/>
      <c r="S21" s="37"/>
      <c r="U21" s="35"/>
      <c r="V21" s="36"/>
      <c r="W21" s="36"/>
      <c r="X21" s="37"/>
      <c r="AM21" s="12" t="str">
        <f t="shared" si="0"/>
        <v/>
      </c>
      <c r="AN21" s="12">
        <f t="shared" si="5"/>
        <v>0</v>
      </c>
      <c r="AO21" s="12" t="s">
        <v>159</v>
      </c>
      <c r="AP21" s="12" t="str">
        <f>IFERROR(VLOOKUP(AN21,FEB!$K$23:$M$38,3,FALSE),"")</f>
        <v/>
      </c>
    </row>
    <row r="22" spans="2:42" ht="14.25" customHeight="1">
      <c r="B22" s="15" t="s">
        <v>173</v>
      </c>
      <c r="C22" s="10" t="s">
        <v>170</v>
      </c>
      <c r="D22" s="23" t="s">
        <v>171</v>
      </c>
      <c r="F22" s="15" t="s">
        <v>173</v>
      </c>
      <c r="G22" s="10" t="s">
        <v>170</v>
      </c>
      <c r="H22" s="10" t="s">
        <v>171</v>
      </c>
      <c r="I22" s="23" t="s">
        <v>174</v>
      </c>
      <c r="K22" s="15" t="s">
        <v>173</v>
      </c>
      <c r="L22" s="10" t="s">
        <v>170</v>
      </c>
      <c r="M22" s="10" t="s">
        <v>171</v>
      </c>
      <c r="N22" s="23" t="s">
        <v>174</v>
      </c>
      <c r="P22" s="15" t="s">
        <v>173</v>
      </c>
      <c r="Q22" s="10" t="s">
        <v>170</v>
      </c>
      <c r="R22" s="10" t="s">
        <v>171</v>
      </c>
      <c r="S22" s="23" t="s">
        <v>174</v>
      </c>
      <c r="U22" s="15" t="s">
        <v>173</v>
      </c>
      <c r="V22" s="10" t="s">
        <v>170</v>
      </c>
      <c r="W22" s="10" t="s">
        <v>171</v>
      </c>
      <c r="X22" s="23" t="s">
        <v>174</v>
      </c>
      <c r="AM22" s="12" t="str">
        <f t="shared" si="0"/>
        <v/>
      </c>
      <c r="AN22" s="12">
        <f t="shared" si="5"/>
        <v>0</v>
      </c>
      <c r="AO22" s="12" t="s">
        <v>159</v>
      </c>
      <c r="AP22" s="12" t="str">
        <f>IFERROR(VLOOKUP(AN22,FEB!$K$23:$M$38,3,FALSE),"")</f>
        <v/>
      </c>
    </row>
    <row r="23" spans="2:42" ht="14.25" customHeight="1">
      <c r="B23" s="15"/>
      <c r="C23" s="16"/>
      <c r="D23" s="17"/>
      <c r="F23" s="15"/>
      <c r="G23" s="16"/>
      <c r="H23" s="16"/>
      <c r="I23" s="17">
        <f>FEB!$G23-FEB!$H23</f>
        <v>0</v>
      </c>
      <c r="K23" s="15"/>
      <c r="L23" s="16"/>
      <c r="M23" s="16"/>
      <c r="N23" s="17">
        <f>FEB!$L23-FEB!$M23</f>
        <v>0</v>
      </c>
      <c r="P23" s="15"/>
      <c r="Q23" s="16"/>
      <c r="R23" s="16"/>
      <c r="S23" s="17">
        <f>FEB!$Q23-FEB!$R23</f>
        <v>0</v>
      </c>
      <c r="U23" s="15"/>
      <c r="V23" s="16"/>
      <c r="W23" s="16"/>
      <c r="X23" s="17">
        <f>FEB!$V23-FEB!$W23</f>
        <v>0</v>
      </c>
      <c r="AM23" s="12" t="str">
        <f t="shared" si="0"/>
        <v/>
      </c>
      <c r="AN23" s="12">
        <f t="shared" si="5"/>
        <v>0</v>
      </c>
      <c r="AO23" s="12" t="s">
        <v>159</v>
      </c>
      <c r="AP23" s="12" t="str">
        <f>IFERROR(VLOOKUP(AN23,FEB!$K$23:$M$38,3,FALSE),"")</f>
        <v/>
      </c>
    </row>
    <row r="24" spans="2:42" ht="14.25" customHeight="1">
      <c r="B24" s="15"/>
      <c r="C24" s="16"/>
      <c r="D24" s="17"/>
      <c r="F24" s="15"/>
      <c r="G24" s="16"/>
      <c r="H24" s="16"/>
      <c r="I24" s="17">
        <f>FEB!$G24-FEB!$H24</f>
        <v>0</v>
      </c>
      <c r="K24" s="15"/>
      <c r="L24" s="16"/>
      <c r="M24" s="16"/>
      <c r="N24" s="17">
        <f>FEB!$L24-FEB!$M24</f>
        <v>0</v>
      </c>
      <c r="P24" s="15"/>
      <c r="Q24" s="16"/>
      <c r="R24" s="16"/>
      <c r="S24" s="17">
        <f>FEB!$Q24-FEB!$R24</f>
        <v>0</v>
      </c>
      <c r="U24" s="15"/>
      <c r="V24" s="16"/>
      <c r="W24" s="16"/>
      <c r="X24" s="17">
        <f>FEB!$V24-FEB!$W24</f>
        <v>0</v>
      </c>
      <c r="AM24" s="12" t="str">
        <f t="shared" si="0"/>
        <v/>
      </c>
      <c r="AN24" s="12">
        <f t="shared" si="5"/>
        <v>0</v>
      </c>
      <c r="AO24" s="12" t="s">
        <v>159</v>
      </c>
      <c r="AP24" s="12" t="str">
        <f>IFERROR(VLOOKUP(AN24,FEB!$K$23:$M$38,3,FALSE),"")</f>
        <v/>
      </c>
    </row>
    <row r="25" spans="2:42" ht="14.25" customHeight="1">
      <c r="B25" s="15"/>
      <c r="C25" s="16"/>
      <c r="D25" s="17"/>
      <c r="F25" s="15"/>
      <c r="G25" s="16"/>
      <c r="H25" s="16"/>
      <c r="I25" s="17">
        <f>FEB!$G25-FEB!$H25</f>
        <v>0</v>
      </c>
      <c r="K25" s="15"/>
      <c r="L25" s="16"/>
      <c r="M25" s="16"/>
      <c r="N25" s="17">
        <f>FEB!$L25-FEB!$M25</f>
        <v>0</v>
      </c>
      <c r="P25" s="15"/>
      <c r="Q25" s="16"/>
      <c r="R25" s="16"/>
      <c r="S25" s="17">
        <f>FEB!$Q25-FEB!$R25</f>
        <v>0</v>
      </c>
      <c r="U25" s="15"/>
      <c r="V25" s="16"/>
      <c r="W25" s="16"/>
      <c r="X25" s="17">
        <f>FEB!$V25-FEB!$W25</f>
        <v>0</v>
      </c>
      <c r="AM25" s="12" t="str">
        <f t="shared" si="0"/>
        <v/>
      </c>
      <c r="AN25" s="12">
        <f t="shared" si="5"/>
        <v>0</v>
      </c>
      <c r="AO25" s="12" t="s">
        <v>159</v>
      </c>
      <c r="AP25" s="12" t="str">
        <f>IFERROR(VLOOKUP(AN25,FEB!$K$23:$M$38,3,FALSE),"")</f>
        <v/>
      </c>
    </row>
    <row r="26" spans="2:42" ht="14.25" customHeight="1">
      <c r="B26" s="15"/>
      <c r="C26" s="16"/>
      <c r="D26" s="17"/>
      <c r="F26" s="15"/>
      <c r="G26" s="16"/>
      <c r="H26" s="16"/>
      <c r="I26" s="17">
        <f>FEB!$G26-FEB!$H26</f>
        <v>0</v>
      </c>
      <c r="K26" s="15"/>
      <c r="L26" s="16"/>
      <c r="M26" s="16"/>
      <c r="N26" s="17">
        <f>FEB!$L26-FEB!$M26</f>
        <v>0</v>
      </c>
      <c r="P26" s="15"/>
      <c r="Q26" s="16"/>
      <c r="R26" s="16"/>
      <c r="S26" s="17">
        <f>FEB!$Q26-FEB!$R26</f>
        <v>0</v>
      </c>
      <c r="U26" s="15"/>
      <c r="V26" s="16"/>
      <c r="W26" s="16"/>
      <c r="X26" s="17">
        <f>FEB!$V26-FEB!$W26</f>
        <v>0</v>
      </c>
      <c r="AM26" s="12" t="str">
        <f t="shared" si="0"/>
        <v/>
      </c>
      <c r="AN26" s="12">
        <f t="shared" si="5"/>
        <v>0</v>
      </c>
      <c r="AO26" s="12" t="s">
        <v>159</v>
      </c>
      <c r="AP26" s="12" t="str">
        <f>IFERROR(VLOOKUP(AN26,FEB!$K$23:$M$38,3,FALSE),"")</f>
        <v/>
      </c>
    </row>
    <row r="27" spans="2:42" ht="14.25" customHeight="1">
      <c r="B27" s="15"/>
      <c r="C27" s="16"/>
      <c r="D27" s="17"/>
      <c r="F27" s="15"/>
      <c r="G27" s="16"/>
      <c r="H27" s="16"/>
      <c r="I27" s="17">
        <f>FEB!$G27-FEB!$H27</f>
        <v>0</v>
      </c>
      <c r="K27" s="15"/>
      <c r="L27" s="16"/>
      <c r="M27" s="16"/>
      <c r="N27" s="17">
        <f>FEB!$L27-FEB!$M27</f>
        <v>0</v>
      </c>
      <c r="P27" s="15"/>
      <c r="Q27" s="16"/>
      <c r="R27" s="16"/>
      <c r="S27" s="17">
        <f>FEB!$Q27-FEB!$R27</f>
        <v>0</v>
      </c>
      <c r="U27" s="15"/>
      <c r="V27" s="16"/>
      <c r="W27" s="16"/>
      <c r="X27" s="17">
        <f>FEB!$V27-FEB!$W27</f>
        <v>0</v>
      </c>
      <c r="AM27" s="12" t="str">
        <f t="shared" si="0"/>
        <v/>
      </c>
      <c r="AN27" s="12">
        <f t="shared" si="5"/>
        <v>0</v>
      </c>
      <c r="AO27" s="12" t="s">
        <v>159</v>
      </c>
      <c r="AP27" s="12" t="str">
        <f>IFERROR(VLOOKUP(AN27,FEB!$K$23:$M$38,3,FALSE),"")</f>
        <v/>
      </c>
    </row>
    <row r="28" spans="2:42" ht="14.25" customHeight="1">
      <c r="B28" s="15"/>
      <c r="C28" s="16"/>
      <c r="D28" s="17"/>
      <c r="F28" s="15"/>
      <c r="G28" s="16"/>
      <c r="H28" s="16"/>
      <c r="I28" s="17">
        <f>FEB!$G28-FEB!$H28</f>
        <v>0</v>
      </c>
      <c r="K28" s="15"/>
      <c r="L28" s="16"/>
      <c r="M28" s="16"/>
      <c r="N28" s="17">
        <f>FEB!$L28-FEB!$M28</f>
        <v>0</v>
      </c>
      <c r="P28" s="15"/>
      <c r="Q28" s="16"/>
      <c r="R28" s="16"/>
      <c r="S28" s="17">
        <f>FEB!$Q28-FEB!$R28</f>
        <v>0</v>
      </c>
      <c r="U28" s="15"/>
      <c r="V28" s="16"/>
      <c r="W28" s="16"/>
      <c r="X28" s="17">
        <f>FEB!$V28-FEB!$W28</f>
        <v>0</v>
      </c>
      <c r="AM28" s="12" t="str">
        <f t="shared" si="0"/>
        <v/>
      </c>
      <c r="AN28" s="12">
        <f t="shared" si="5"/>
        <v>0</v>
      </c>
      <c r="AO28" s="12" t="s">
        <v>159</v>
      </c>
      <c r="AP28" s="12" t="str">
        <f>IFERROR(VLOOKUP(AN28,FEB!$K$23:$M$38,3,FALSE),"")</f>
        <v/>
      </c>
    </row>
    <row r="29" spans="2:42" ht="14.25" customHeight="1">
      <c r="B29" s="15"/>
      <c r="C29" s="16"/>
      <c r="D29" s="17"/>
      <c r="F29" s="15"/>
      <c r="G29" s="16"/>
      <c r="H29" s="16"/>
      <c r="I29" s="17">
        <f>FEB!$G29-FEB!$H29</f>
        <v>0</v>
      </c>
      <c r="K29" s="15"/>
      <c r="L29" s="16"/>
      <c r="M29" s="16"/>
      <c r="N29" s="17">
        <f>FEB!$L29-FEB!$M29</f>
        <v>0</v>
      </c>
      <c r="P29" s="15"/>
      <c r="Q29" s="16"/>
      <c r="R29" s="16"/>
      <c r="S29" s="17">
        <f>FEB!$Q29-FEB!$R29</f>
        <v>0</v>
      </c>
      <c r="U29" s="15"/>
      <c r="V29" s="16"/>
      <c r="W29" s="16"/>
      <c r="X29" s="17">
        <f>FEB!$V29-FEB!$W29</f>
        <v>0</v>
      </c>
      <c r="AM29" s="12" t="str">
        <f t="shared" si="0"/>
        <v/>
      </c>
      <c r="AN29" s="12">
        <f t="shared" si="5"/>
        <v>0</v>
      </c>
      <c r="AO29" s="12" t="s">
        <v>159</v>
      </c>
      <c r="AP29" s="12" t="str">
        <f>IFERROR(VLOOKUP(AN29,FEB!$K$23:$M$38,3,FALSE),"")</f>
        <v/>
      </c>
    </row>
    <row r="30" spans="2:42" ht="14.25" customHeight="1">
      <c r="B30" s="15"/>
      <c r="C30" s="16"/>
      <c r="D30" s="17"/>
      <c r="F30" s="15"/>
      <c r="G30" s="16"/>
      <c r="H30" s="16"/>
      <c r="I30" s="17">
        <f>FEB!$G30-FEB!$H30</f>
        <v>0</v>
      </c>
      <c r="K30" s="15"/>
      <c r="L30" s="16"/>
      <c r="M30" s="16"/>
      <c r="N30" s="17">
        <f>FEB!$L30-FEB!$M30</f>
        <v>0</v>
      </c>
      <c r="P30" s="15"/>
      <c r="Q30" s="16"/>
      <c r="R30" s="16"/>
      <c r="S30" s="17">
        <f>FEB!$Q30-FEB!$R30</f>
        <v>0</v>
      </c>
      <c r="U30" s="15"/>
      <c r="V30" s="16"/>
      <c r="W30" s="16"/>
      <c r="X30" s="17">
        <f>FEB!$V30-FEB!$W30</f>
        <v>0</v>
      </c>
      <c r="AM30" s="12" t="str">
        <f t="shared" si="0"/>
        <v/>
      </c>
      <c r="AN30" s="12">
        <f t="shared" si="5"/>
        <v>0</v>
      </c>
      <c r="AO30" s="12" t="s">
        <v>159</v>
      </c>
      <c r="AP30" s="12" t="str">
        <f>IFERROR(VLOOKUP(AN30,FEB!$K$23:$M$38,3,FALSE),"")</f>
        <v/>
      </c>
    </row>
    <row r="31" spans="2:42" ht="14.25" customHeight="1">
      <c r="B31" s="15"/>
      <c r="C31" s="16"/>
      <c r="D31" s="17"/>
      <c r="F31" s="15"/>
      <c r="G31" s="16"/>
      <c r="H31" s="16"/>
      <c r="I31" s="17">
        <f>FEB!$G31-FEB!$H31</f>
        <v>0</v>
      </c>
      <c r="K31" s="15"/>
      <c r="L31" s="16"/>
      <c r="M31" s="16"/>
      <c r="N31" s="17">
        <f>FEB!$L31-FEB!$M31</f>
        <v>0</v>
      </c>
      <c r="P31" s="15"/>
      <c r="Q31" s="16"/>
      <c r="R31" s="16"/>
      <c r="S31" s="17">
        <f>FEB!$Q31-FEB!$R31</f>
        <v>0</v>
      </c>
      <c r="U31" s="15"/>
      <c r="V31" s="16"/>
      <c r="W31" s="16"/>
      <c r="X31" s="17">
        <f>FEB!$V31-FEB!$W31</f>
        <v>0</v>
      </c>
      <c r="AM31" s="12" t="str">
        <f t="shared" si="0"/>
        <v/>
      </c>
      <c r="AN31" s="12">
        <f t="shared" si="5"/>
        <v>0</v>
      </c>
      <c r="AO31" s="12" t="s">
        <v>159</v>
      </c>
      <c r="AP31" s="12" t="str">
        <f>IFERROR(VLOOKUP(AN31,FEB!$K$23:$M$38,3,FALSE),"")</f>
        <v/>
      </c>
    </row>
    <row r="32" spans="2:42" ht="14.25" customHeight="1">
      <c r="B32" s="15"/>
      <c r="C32" s="16"/>
      <c r="D32" s="17"/>
      <c r="F32" s="15"/>
      <c r="G32" s="16"/>
      <c r="H32" s="16"/>
      <c r="I32" s="17">
        <f>FEB!$G32-FEB!$H32</f>
        <v>0</v>
      </c>
      <c r="K32" s="15"/>
      <c r="L32" s="16"/>
      <c r="M32" s="16"/>
      <c r="N32" s="17">
        <f>FEB!$L32-FEB!$M32</f>
        <v>0</v>
      </c>
      <c r="P32" s="15"/>
      <c r="Q32" s="16"/>
      <c r="R32" s="16"/>
      <c r="S32" s="17">
        <f>FEB!$Q32-FEB!$R32</f>
        <v>0</v>
      </c>
      <c r="U32" s="15"/>
      <c r="V32" s="16"/>
      <c r="W32" s="16"/>
      <c r="X32" s="17">
        <f>FEB!$V32-FEB!$W32</f>
        <v>0</v>
      </c>
      <c r="AM32" s="12" t="str">
        <f t="shared" si="0"/>
        <v/>
      </c>
      <c r="AN32" s="12">
        <f t="shared" si="5"/>
        <v>0</v>
      </c>
      <c r="AO32" s="12" t="s">
        <v>159</v>
      </c>
      <c r="AP32" s="12" t="str">
        <f>IFERROR(VLOOKUP(AN32,FEB!$K$23:$M$38,3,FALSE),"")</f>
        <v/>
      </c>
    </row>
    <row r="33" spans="2:42" ht="14.25" customHeight="1">
      <c r="B33" s="15"/>
      <c r="C33" s="16"/>
      <c r="D33" s="17"/>
      <c r="F33" s="15"/>
      <c r="G33" s="16"/>
      <c r="H33" s="16"/>
      <c r="I33" s="17">
        <f>FEB!$G33-FEB!$H33</f>
        <v>0</v>
      </c>
      <c r="K33" s="15"/>
      <c r="L33" s="16"/>
      <c r="M33" s="16"/>
      <c r="N33" s="17">
        <f>FEB!$L33-FEB!$M33</f>
        <v>0</v>
      </c>
      <c r="P33" s="15"/>
      <c r="Q33" s="16"/>
      <c r="R33" s="16"/>
      <c r="S33" s="17">
        <f>FEB!$Q33-FEB!$R33</f>
        <v>0</v>
      </c>
      <c r="U33" s="15"/>
      <c r="V33" s="16"/>
      <c r="W33" s="16"/>
      <c r="X33" s="17">
        <f>FEB!$V33-FEB!$W33</f>
        <v>0</v>
      </c>
      <c r="AM33" s="12" t="str">
        <f t="shared" si="0"/>
        <v/>
      </c>
      <c r="AN33" s="12">
        <f t="shared" si="5"/>
        <v>0</v>
      </c>
      <c r="AO33" s="12" t="s">
        <v>159</v>
      </c>
      <c r="AP33" s="12" t="str">
        <f>IFERROR(VLOOKUP(AN33,FEB!$K$23:$M$38,3,FALSE),"")</f>
        <v/>
      </c>
    </row>
    <row r="34" spans="2:42" ht="14.25" customHeight="1">
      <c r="B34" s="15"/>
      <c r="C34" s="16"/>
      <c r="D34" s="17"/>
      <c r="F34" s="15"/>
      <c r="G34" s="16"/>
      <c r="H34" s="16"/>
      <c r="I34" s="17">
        <f>FEB!$G34-FEB!$H34</f>
        <v>0</v>
      </c>
      <c r="K34" s="15"/>
      <c r="L34" s="16"/>
      <c r="M34" s="16"/>
      <c r="N34" s="17">
        <f>FEB!$L34-FEB!$M34</f>
        <v>0</v>
      </c>
      <c r="P34" s="15"/>
      <c r="Q34" s="16"/>
      <c r="R34" s="16"/>
      <c r="S34" s="17">
        <f>FEB!$Q34-FEB!$R34</f>
        <v>0</v>
      </c>
      <c r="U34" s="15"/>
      <c r="V34" s="16"/>
      <c r="W34" s="16"/>
      <c r="X34" s="17">
        <f>FEB!$V34-FEB!$W34</f>
        <v>0</v>
      </c>
      <c r="AM34" s="12" t="str">
        <f t="shared" si="0"/>
        <v/>
      </c>
      <c r="AN34" s="12">
        <f t="shared" si="5"/>
        <v>0</v>
      </c>
      <c r="AO34" s="12" t="s">
        <v>175</v>
      </c>
      <c r="AP34" s="12" t="str">
        <f>IFERROR(VLOOKUP(AN34,FEB!$K$23:$M$38,3,FALSE),"")</f>
        <v/>
      </c>
    </row>
    <row r="35" spans="2:42" ht="14.25" customHeight="1">
      <c r="B35" s="15"/>
      <c r="C35" s="16"/>
      <c r="D35" s="17"/>
      <c r="F35" s="15"/>
      <c r="G35" s="16"/>
      <c r="H35" s="16"/>
      <c r="I35" s="17">
        <f>FEB!$G35-FEB!$H35</f>
        <v>0</v>
      </c>
      <c r="K35" s="15"/>
      <c r="L35" s="16"/>
      <c r="M35" s="16"/>
      <c r="N35" s="17">
        <f>FEB!$L35-FEB!$M35</f>
        <v>0</v>
      </c>
      <c r="P35" s="15"/>
      <c r="Q35" s="16"/>
      <c r="R35" s="16"/>
      <c r="S35" s="17">
        <f>FEB!$Q35-FEB!$R35</f>
        <v>0</v>
      </c>
      <c r="U35" s="15"/>
      <c r="V35" s="16"/>
      <c r="W35" s="16"/>
      <c r="X35" s="17">
        <f>FEB!$V35-FEB!$W35</f>
        <v>0</v>
      </c>
      <c r="AM35" s="12" t="str">
        <f t="shared" si="0"/>
        <v/>
      </c>
      <c r="AN35" s="12">
        <f t="shared" ref="AN35:AN49" si="6">P23</f>
        <v>0</v>
      </c>
      <c r="AO35" s="12" t="s">
        <v>175</v>
      </c>
      <c r="AP35" s="12" t="str">
        <f>IFERROR(VLOOKUP(AN35,FEB!$P$23:$R$38,3,FALSE),"")</f>
        <v/>
      </c>
    </row>
    <row r="36" spans="2:42" ht="14.25" customHeight="1">
      <c r="B36" s="15"/>
      <c r="C36" s="16"/>
      <c r="D36" s="17"/>
      <c r="F36" s="15"/>
      <c r="G36" s="16"/>
      <c r="H36" s="16"/>
      <c r="I36" s="17">
        <f>FEB!$G36-FEB!$H36</f>
        <v>0</v>
      </c>
      <c r="K36" s="15"/>
      <c r="L36" s="16"/>
      <c r="M36" s="16"/>
      <c r="N36" s="17">
        <f>FEB!$L36-FEB!$M36</f>
        <v>0</v>
      </c>
      <c r="P36" s="15"/>
      <c r="Q36" s="16"/>
      <c r="R36" s="16"/>
      <c r="S36" s="17">
        <f>FEB!$Q36-FEB!$R36</f>
        <v>0</v>
      </c>
      <c r="U36" s="15"/>
      <c r="V36" s="16"/>
      <c r="W36" s="16"/>
      <c r="X36" s="17">
        <f>FEB!$V36-FEB!$W36</f>
        <v>0</v>
      </c>
      <c r="AM36" s="12" t="str">
        <f t="shared" si="0"/>
        <v/>
      </c>
      <c r="AN36" s="12">
        <f t="shared" si="6"/>
        <v>0</v>
      </c>
      <c r="AO36" s="12" t="s">
        <v>175</v>
      </c>
      <c r="AP36" s="12" t="str">
        <f>IFERROR(VLOOKUP(AN36,FEB!$P$23:$R$38,3,FALSE),"")</f>
        <v/>
      </c>
    </row>
    <row r="37" spans="2:42" ht="14.25" customHeight="1">
      <c r="B37" s="15"/>
      <c r="C37" s="16"/>
      <c r="D37" s="17"/>
      <c r="F37" s="15"/>
      <c r="G37" s="16"/>
      <c r="H37" s="16"/>
      <c r="I37" s="17">
        <f>FEB!$G37-FEB!$H37</f>
        <v>0</v>
      </c>
      <c r="K37" s="15"/>
      <c r="L37" s="16"/>
      <c r="M37" s="16"/>
      <c r="N37" s="17">
        <f>FEB!$L37-FEB!$M37</f>
        <v>0</v>
      </c>
      <c r="P37" s="15"/>
      <c r="Q37" s="16"/>
      <c r="R37" s="16"/>
      <c r="S37" s="17">
        <f>FEB!$Q37-FEB!$R37</f>
        <v>0</v>
      </c>
      <c r="U37" s="15"/>
      <c r="V37" s="16"/>
      <c r="W37" s="16"/>
      <c r="X37" s="17">
        <f>FEB!$V37-FEB!$W37</f>
        <v>0</v>
      </c>
      <c r="AM37" s="12" t="str">
        <f t="shared" si="0"/>
        <v/>
      </c>
      <c r="AN37" s="12">
        <f t="shared" si="6"/>
        <v>0</v>
      </c>
      <c r="AO37" s="12" t="s">
        <v>175</v>
      </c>
      <c r="AP37" s="12" t="str">
        <f>IFERROR(VLOOKUP(AN37,FEB!$P$23:$R$38,3,FALSE),"")</f>
        <v/>
      </c>
    </row>
    <row r="38" spans="2:42" ht="14.25" customHeight="1">
      <c r="B38" s="18"/>
      <c r="C38" s="19"/>
      <c r="D38" s="20"/>
      <c r="F38" s="18"/>
      <c r="G38" s="19"/>
      <c r="H38" s="19"/>
      <c r="I38" s="20">
        <f>FEB!$G38-FEB!$H38</f>
        <v>0</v>
      </c>
      <c r="K38" s="18"/>
      <c r="L38" s="19"/>
      <c r="M38" s="19"/>
      <c r="N38" s="20">
        <f>FEB!$L38-FEB!$M38</f>
        <v>0</v>
      </c>
      <c r="P38" s="18"/>
      <c r="Q38" s="19"/>
      <c r="R38" s="19"/>
      <c r="S38" s="20">
        <f>FEB!$Q38-FEB!$R38</f>
        <v>0</v>
      </c>
      <c r="U38" s="18"/>
      <c r="V38" s="19"/>
      <c r="W38" s="19"/>
      <c r="X38" s="20">
        <f>FEB!$V38-FEB!$W38</f>
        <v>0</v>
      </c>
      <c r="AM38" s="12" t="str">
        <f t="shared" si="0"/>
        <v/>
      </c>
      <c r="AN38" s="12">
        <f t="shared" si="6"/>
        <v>0</v>
      </c>
      <c r="AO38" s="12" t="s">
        <v>175</v>
      </c>
      <c r="AP38" s="12" t="str">
        <f>IFERROR(VLOOKUP(AN38,FEB!$P$23:$R$38,3,FALSE),"")</f>
        <v/>
      </c>
    </row>
    <row r="39" spans="2:42" ht="14.25" customHeight="1">
      <c r="AM39" s="12" t="str">
        <f t="shared" si="0"/>
        <v/>
      </c>
      <c r="AN39" s="12">
        <f t="shared" si="6"/>
        <v>0</v>
      </c>
      <c r="AO39" s="12" t="s">
        <v>175</v>
      </c>
      <c r="AP39" s="12" t="str">
        <f>IFERROR(VLOOKUP(AN39,FEB!$P$23:$R$38,3,FALSE),"")</f>
        <v/>
      </c>
    </row>
    <row r="40" spans="2:42" ht="14.25" customHeight="1">
      <c r="AM40" s="12" t="str">
        <f t="shared" si="0"/>
        <v/>
      </c>
      <c r="AN40" s="12">
        <f t="shared" si="6"/>
        <v>0</v>
      </c>
      <c r="AO40" s="12" t="s">
        <v>175</v>
      </c>
      <c r="AP40" s="12" t="str">
        <f>IFERROR(VLOOKUP(AN40,FEB!$P$23:$R$38,3,FALSE),"")</f>
        <v/>
      </c>
    </row>
    <row r="41" spans="2:42" ht="14.25" customHeight="1">
      <c r="AM41" s="12" t="str">
        <f t="shared" si="0"/>
        <v/>
      </c>
      <c r="AN41" s="12">
        <f t="shared" si="6"/>
        <v>0</v>
      </c>
      <c r="AO41" s="12" t="s">
        <v>175</v>
      </c>
      <c r="AP41" s="12" t="str">
        <f>IFERROR(VLOOKUP(AN41,FEB!$P$23:$R$38,3,FALSE),"")</f>
        <v/>
      </c>
    </row>
    <row r="42" spans="2:42" ht="14.25" customHeight="1">
      <c r="AM42" s="12" t="str">
        <f t="shared" si="0"/>
        <v/>
      </c>
      <c r="AN42" s="12">
        <f t="shared" si="6"/>
        <v>0</v>
      </c>
      <c r="AO42" s="12" t="s">
        <v>175</v>
      </c>
      <c r="AP42" s="12" t="str">
        <f>IFERROR(VLOOKUP(AN42,FEB!$P$23:$R$38,3,FALSE),"")</f>
        <v/>
      </c>
    </row>
    <row r="43" spans="2:42" ht="14.25" customHeight="1">
      <c r="AM43" s="12" t="str">
        <f t="shared" si="0"/>
        <v/>
      </c>
      <c r="AN43" s="12">
        <f t="shared" si="6"/>
        <v>0</v>
      </c>
      <c r="AO43" s="12" t="s">
        <v>175</v>
      </c>
      <c r="AP43" s="12" t="str">
        <f>IFERROR(VLOOKUP(AN43,FEB!$P$23:$R$38,3,FALSE),"")</f>
        <v/>
      </c>
    </row>
    <row r="44" spans="2:42" ht="14.25" customHeight="1">
      <c r="AM44" s="12" t="str">
        <f t="shared" si="0"/>
        <v/>
      </c>
      <c r="AN44" s="12">
        <f t="shared" si="6"/>
        <v>0</v>
      </c>
      <c r="AO44" s="12" t="s">
        <v>175</v>
      </c>
      <c r="AP44" s="12" t="str">
        <f>IFERROR(VLOOKUP(AN44,FEB!$P$23:$R$38,3,FALSE),"")</f>
        <v/>
      </c>
    </row>
    <row r="45" spans="2:42" ht="14.25" customHeight="1">
      <c r="AM45" s="12" t="str">
        <f t="shared" si="0"/>
        <v/>
      </c>
      <c r="AN45" s="12">
        <f t="shared" si="6"/>
        <v>0</v>
      </c>
      <c r="AO45" s="12" t="s">
        <v>175</v>
      </c>
      <c r="AP45" s="12" t="str">
        <f>IFERROR(VLOOKUP(AN45,FEB!$P$23:$R$38,3,FALSE),"")</f>
        <v/>
      </c>
    </row>
    <row r="46" spans="2:42" ht="14.25" customHeight="1">
      <c r="AM46" s="12" t="str">
        <f t="shared" si="0"/>
        <v/>
      </c>
      <c r="AN46" s="12">
        <f t="shared" si="6"/>
        <v>0</v>
      </c>
      <c r="AO46" s="12" t="s">
        <v>175</v>
      </c>
      <c r="AP46" s="12" t="str">
        <f>IFERROR(VLOOKUP(AN46,FEB!$P$23:$R$38,3,FALSE),"")</f>
        <v/>
      </c>
    </row>
    <row r="47" spans="2:42" ht="14.25" customHeight="1">
      <c r="AM47" s="12" t="str">
        <f t="shared" si="0"/>
        <v/>
      </c>
      <c r="AN47" s="12">
        <f t="shared" si="6"/>
        <v>0</v>
      </c>
      <c r="AO47" s="12" t="s">
        <v>175</v>
      </c>
      <c r="AP47" s="12" t="str">
        <f>IFERROR(VLOOKUP(AN47,FEB!$P$23:$R$38,3,FALSE),"")</f>
        <v/>
      </c>
    </row>
    <row r="48" spans="2:42" ht="14.25" customHeight="1">
      <c r="AM48" s="12" t="str">
        <f t="shared" si="0"/>
        <v/>
      </c>
      <c r="AN48" s="12">
        <f t="shared" si="6"/>
        <v>0</v>
      </c>
      <c r="AO48" s="12" t="s">
        <v>175</v>
      </c>
      <c r="AP48" s="12" t="str">
        <f>IFERROR(VLOOKUP(AN48,FEB!$P$23:$R$38,3,FALSE),"")</f>
        <v/>
      </c>
    </row>
    <row r="49" spans="39:42" ht="14.25" customHeight="1">
      <c r="AM49" s="12" t="str">
        <f t="shared" si="0"/>
        <v/>
      </c>
      <c r="AN49" s="12">
        <f t="shared" si="6"/>
        <v>0</v>
      </c>
      <c r="AO49" s="12" t="s">
        <v>161</v>
      </c>
      <c r="AP49" s="12" t="str">
        <f>IFERROR(VLOOKUP(AN49,FEB!$P$23:$R$38,3,FALSE),"")</f>
        <v/>
      </c>
    </row>
    <row r="50" spans="39:42" ht="14.25" customHeight="1">
      <c r="AM50" s="12" t="str">
        <f t="shared" si="0"/>
        <v/>
      </c>
      <c r="AN50" s="12">
        <f t="shared" ref="AN50:AN65" si="7">U23</f>
        <v>0</v>
      </c>
      <c r="AO50" s="12" t="s">
        <v>161</v>
      </c>
      <c r="AP50" s="12" t="str">
        <f>IFERROR(VLOOKUP(AN50,FEB!$U$23:$W$38,3,FALSE),"")</f>
        <v/>
      </c>
    </row>
    <row r="51" spans="39:42" ht="14.25" customHeight="1">
      <c r="AM51" s="12" t="str">
        <f t="shared" si="0"/>
        <v/>
      </c>
      <c r="AN51" s="12">
        <f t="shared" si="7"/>
        <v>0</v>
      </c>
      <c r="AO51" s="12" t="s">
        <v>161</v>
      </c>
      <c r="AP51" s="12" t="str">
        <f>IFERROR(VLOOKUP(AN51,FEB!$U$23:$W$38,3,FALSE),"")</f>
        <v/>
      </c>
    </row>
    <row r="52" spans="39:42" ht="14.25" customHeight="1">
      <c r="AM52" s="12" t="str">
        <f t="shared" si="0"/>
        <v/>
      </c>
      <c r="AN52" s="12">
        <f t="shared" si="7"/>
        <v>0</v>
      </c>
      <c r="AO52" s="12" t="s">
        <v>161</v>
      </c>
      <c r="AP52" s="12" t="str">
        <f>IFERROR(VLOOKUP(AN52,FEB!$U$23:$W$38,3,FALSE),"")</f>
        <v/>
      </c>
    </row>
    <row r="53" spans="39:42" ht="14.25" customHeight="1">
      <c r="AM53" s="12" t="str">
        <f t="shared" si="0"/>
        <v/>
      </c>
      <c r="AN53" s="12">
        <f t="shared" si="7"/>
        <v>0</v>
      </c>
      <c r="AO53" s="12" t="s">
        <v>161</v>
      </c>
      <c r="AP53" s="12" t="str">
        <f>IFERROR(VLOOKUP(AN53,FEB!$U$23:$W$38,3,FALSE),"")</f>
        <v/>
      </c>
    </row>
    <row r="54" spans="39:42" ht="14.25" customHeight="1">
      <c r="AM54" s="12" t="str">
        <f t="shared" si="0"/>
        <v/>
      </c>
      <c r="AN54" s="12">
        <f t="shared" si="7"/>
        <v>0</v>
      </c>
      <c r="AO54" s="12" t="s">
        <v>161</v>
      </c>
      <c r="AP54" s="12" t="str">
        <f>IFERROR(VLOOKUP(AN54,FEB!$U$23:$W$38,3,FALSE),"")</f>
        <v/>
      </c>
    </row>
    <row r="55" spans="39:42" ht="14.25" customHeight="1">
      <c r="AM55" s="12" t="str">
        <f t="shared" si="0"/>
        <v/>
      </c>
      <c r="AN55" s="12">
        <f t="shared" si="7"/>
        <v>0</v>
      </c>
      <c r="AO55" s="12" t="s">
        <v>161</v>
      </c>
      <c r="AP55" s="12" t="str">
        <f>IFERROR(VLOOKUP(AN55,FEB!$U$23:$W$38,3,FALSE),"")</f>
        <v/>
      </c>
    </row>
    <row r="56" spans="39:42" ht="14.25" customHeight="1">
      <c r="AM56" s="12" t="str">
        <f t="shared" si="0"/>
        <v/>
      </c>
      <c r="AN56" s="12">
        <f t="shared" si="7"/>
        <v>0</v>
      </c>
      <c r="AO56" s="12" t="s">
        <v>161</v>
      </c>
      <c r="AP56" s="12" t="str">
        <f>IFERROR(VLOOKUP(AN56,FEB!$U$23:$W$38,3,FALSE),"")</f>
        <v/>
      </c>
    </row>
    <row r="57" spans="39:42" ht="14.25" customHeight="1">
      <c r="AM57" s="12" t="str">
        <f t="shared" si="0"/>
        <v/>
      </c>
      <c r="AN57" s="12">
        <f t="shared" si="7"/>
        <v>0</v>
      </c>
      <c r="AO57" s="12" t="s">
        <v>161</v>
      </c>
      <c r="AP57" s="12" t="str">
        <f>IFERROR(VLOOKUP(AN57,FEB!$U$23:$W$38,3,FALSE),"")</f>
        <v/>
      </c>
    </row>
    <row r="58" spans="39:42" ht="14.25" customHeight="1">
      <c r="AM58" s="12" t="str">
        <f t="shared" si="0"/>
        <v/>
      </c>
      <c r="AN58" s="12">
        <f t="shared" si="7"/>
        <v>0</v>
      </c>
      <c r="AO58" s="12" t="s">
        <v>161</v>
      </c>
      <c r="AP58" s="12" t="str">
        <f>IFERROR(VLOOKUP(AN58,FEB!$U$23:$W$38,3,FALSE),"")</f>
        <v/>
      </c>
    </row>
    <row r="59" spans="39:42" ht="14.25" customHeight="1">
      <c r="AM59" s="12" t="str">
        <f t="shared" si="0"/>
        <v/>
      </c>
      <c r="AN59" s="12">
        <f t="shared" si="7"/>
        <v>0</v>
      </c>
      <c r="AO59" s="12" t="s">
        <v>161</v>
      </c>
      <c r="AP59" s="12" t="str">
        <f>IFERROR(VLOOKUP(AN59,FEB!$U$23:$W$38,3,FALSE),"")</f>
        <v/>
      </c>
    </row>
    <row r="60" spans="39:42" ht="14.25" customHeight="1">
      <c r="AM60" s="12" t="str">
        <f t="shared" si="0"/>
        <v/>
      </c>
      <c r="AN60" s="12">
        <f t="shared" si="7"/>
        <v>0</v>
      </c>
      <c r="AO60" s="12" t="s">
        <v>161</v>
      </c>
      <c r="AP60" s="12" t="str">
        <f>IFERROR(VLOOKUP(AN60,FEB!$U$23:$W$38,3,FALSE),"")</f>
        <v/>
      </c>
    </row>
    <row r="61" spans="39:42" ht="14.25" customHeight="1">
      <c r="AM61" s="12" t="str">
        <f t="shared" si="0"/>
        <v/>
      </c>
      <c r="AN61" s="12">
        <f t="shared" si="7"/>
        <v>0</v>
      </c>
      <c r="AO61" s="12" t="s">
        <v>161</v>
      </c>
      <c r="AP61" s="12" t="str">
        <f>IFERROR(VLOOKUP(AN61,FEB!$U$23:$W$38,3,FALSE),"")</f>
        <v/>
      </c>
    </row>
    <row r="62" spans="39:42" ht="14.25" customHeight="1">
      <c r="AM62" s="12" t="str">
        <f t="shared" si="0"/>
        <v/>
      </c>
      <c r="AN62" s="12">
        <f t="shared" si="7"/>
        <v>0</v>
      </c>
      <c r="AO62" s="12" t="s">
        <v>161</v>
      </c>
      <c r="AP62" s="12" t="str">
        <f>IFERROR(VLOOKUP(AN62,FEB!$U$23:$W$38,3,FALSE),"")</f>
        <v/>
      </c>
    </row>
    <row r="63" spans="39:42" ht="14.25" customHeight="1">
      <c r="AM63" s="12" t="str">
        <f t="shared" si="0"/>
        <v/>
      </c>
      <c r="AN63" s="12">
        <f t="shared" si="7"/>
        <v>0</v>
      </c>
      <c r="AO63" s="12" t="s">
        <v>161</v>
      </c>
      <c r="AP63" s="12" t="str">
        <f>IFERROR(VLOOKUP(AN63,FEB!$U$23:$W$38,3,FALSE),"")</f>
        <v/>
      </c>
    </row>
    <row r="64" spans="39:42" ht="14.25" customHeight="1">
      <c r="AM64" s="12" t="str">
        <f t="shared" si="0"/>
        <v/>
      </c>
      <c r="AN64" s="12">
        <f t="shared" si="7"/>
        <v>0</v>
      </c>
      <c r="AO64" s="12" t="s">
        <v>161</v>
      </c>
      <c r="AP64" s="12" t="str">
        <f>IFERROR(VLOOKUP(AN64,FEB!$U$23:$W$38,3,FALSE),"")</f>
        <v/>
      </c>
    </row>
    <row r="65" spans="39:42" ht="14.25" customHeight="1">
      <c r="AM65" s="12" t="str">
        <f t="shared" si="0"/>
        <v/>
      </c>
      <c r="AN65" s="12">
        <f t="shared" si="7"/>
        <v>0</v>
      </c>
      <c r="AO65" s="12" t="s">
        <v>161</v>
      </c>
      <c r="AP65" s="12" t="str">
        <f>IFERROR(VLOOKUP(AN65,FEB!$U$23:$W$38,3,FALSE),"")</f>
        <v/>
      </c>
    </row>
    <row r="66" spans="39:42" ht="14.25" customHeight="1"/>
    <row r="67" spans="39:42" ht="14.25" customHeight="1"/>
    <row r="68" spans="39:42" ht="14.25" customHeight="1"/>
    <row r="69" spans="39:42" ht="14.25" customHeight="1"/>
    <row r="70" spans="39:42" ht="14.25" customHeight="1"/>
    <row r="71" spans="39:42" ht="14.25" customHeight="1"/>
    <row r="72" spans="39:42" ht="14.25" customHeight="1"/>
    <row r="73" spans="39:42" ht="14.25" customHeight="1"/>
    <row r="74" spans="39:42" ht="14.25" customHeight="1"/>
    <row r="75" spans="39:42" ht="14.25" customHeight="1"/>
    <row r="76" spans="39:42" ht="14.25" customHeight="1"/>
    <row r="77" spans="39:42" ht="14.25" customHeight="1"/>
    <row r="78" spans="39:42" ht="14.25" customHeight="1"/>
    <row r="79" spans="39:42" ht="14.25" customHeight="1"/>
    <row r="80" spans="39:4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N2:AP65" xr:uid="{00000000-0009-0000-0000-000003000000}"/>
  <mergeCells count="18">
    <mergeCell ref="B2:D4"/>
    <mergeCell ref="F2:H3"/>
    <mergeCell ref="J2:L3"/>
    <mergeCell ref="R2:T3"/>
    <mergeCell ref="F4:H5"/>
    <mergeCell ref="J4:L5"/>
    <mergeCell ref="R4:T5"/>
    <mergeCell ref="B5:D5"/>
    <mergeCell ref="B7:D9"/>
    <mergeCell ref="B20:D21"/>
    <mergeCell ref="F20:I21"/>
    <mergeCell ref="K20:N21"/>
    <mergeCell ref="N2:P3"/>
    <mergeCell ref="N4:P5"/>
    <mergeCell ref="V2:X3"/>
    <mergeCell ref="V4:X5"/>
    <mergeCell ref="U20:X21"/>
    <mergeCell ref="P20:S21"/>
  </mergeCells>
  <pageMargins left="0.7" right="0.7" top="0.75" bottom="0.75" header="0" footer="0"/>
  <pageSetup orientation="landscape"/>
  <drawing r:id="rId1"/>
  <tableParts count="5">
    <tablePart r:id="rId2"/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300-000000000000}">
          <x14:formula1>
            <xm:f>lists!$D$2:$D$21</xm:f>
          </x14:formula1>
          <xm:sqref>P23:P38</xm:sqref>
        </x14:dataValidation>
        <x14:dataValidation type="list" allowBlank="1" showErrorMessage="1" xr:uid="{00000000-0002-0000-0300-000001000000}">
          <x14:formula1>
            <xm:f>lists!$A$2:$A$35</xm:f>
          </x14:formula1>
          <xm:sqref>B23:B38</xm:sqref>
        </x14:dataValidation>
        <x14:dataValidation type="list" allowBlank="1" showErrorMessage="1" xr:uid="{00000000-0002-0000-0300-000002000000}">
          <x14:formula1>
            <xm:f>lists!$B$2:$B$24</xm:f>
          </x14:formula1>
          <xm:sqref>F23:F38</xm:sqref>
        </x14:dataValidation>
        <x14:dataValidation type="list" allowBlank="1" showErrorMessage="1" xr:uid="{00000000-0002-0000-0300-000003000000}">
          <x14:formula1>
            <xm:f>lists!$E$2:$E$25</xm:f>
          </x14:formula1>
          <xm:sqref>U23:U38</xm:sqref>
        </x14:dataValidation>
        <x14:dataValidation type="list" allowBlank="1" showErrorMessage="1" xr:uid="{00000000-0002-0000-0300-000004000000}">
          <x14:formula1>
            <xm:f>lists!$C$2:$C$32</xm:f>
          </x14:formula1>
          <xm:sqref>K23:K38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AP1000"/>
  <sheetViews>
    <sheetView workbookViewId="0"/>
  </sheetViews>
  <sheetFormatPr defaultColWidth="14.3984375" defaultRowHeight="15" customHeight="1"/>
  <cols>
    <col min="1" max="1" width="3.3984375" customWidth="1"/>
    <col min="2" max="2" width="14.265625" customWidth="1"/>
    <col min="3" max="3" width="14.3984375" customWidth="1"/>
    <col min="4" max="4" width="15.3984375" customWidth="1"/>
    <col min="5" max="5" width="4.3984375" customWidth="1"/>
    <col min="6" max="6" width="12.1328125" customWidth="1"/>
    <col min="7" max="8" width="12.73046875" customWidth="1"/>
    <col min="9" max="9" width="11.73046875" customWidth="1"/>
    <col min="10" max="10" width="8.73046875" customWidth="1"/>
    <col min="11" max="11" width="10.1328125" customWidth="1"/>
    <col min="12" max="13" width="11.86328125" customWidth="1"/>
    <col min="14" max="14" width="11.73046875" customWidth="1"/>
    <col min="15" max="15" width="8.73046875" customWidth="1"/>
    <col min="16" max="16" width="13.86328125" customWidth="1"/>
    <col min="17" max="18" width="11.86328125" customWidth="1"/>
    <col min="19" max="19" width="11.73046875" customWidth="1"/>
    <col min="20" max="20" width="8.73046875" customWidth="1"/>
    <col min="21" max="21" width="16.265625" customWidth="1"/>
    <col min="22" max="22" width="13" customWidth="1"/>
    <col min="23" max="23" width="17.1328125" customWidth="1"/>
    <col min="24" max="24" width="13.86328125" customWidth="1"/>
    <col min="25" max="37" width="8.73046875" customWidth="1"/>
    <col min="38" max="39" width="8.73046875" hidden="1" customWidth="1"/>
    <col min="40" max="40" width="17.53125" hidden="1" customWidth="1"/>
    <col min="41" max="41" width="12.3984375" hidden="1" customWidth="1"/>
    <col min="42" max="42" width="14.86328125" hidden="1" customWidth="1"/>
  </cols>
  <sheetData>
    <row r="1" spans="2:42" ht="14.25" customHeight="1"/>
    <row r="2" spans="2:42" ht="19.5" customHeight="1">
      <c r="B2" s="50" t="s">
        <v>177</v>
      </c>
      <c r="C2" s="30"/>
      <c r="D2" s="25"/>
      <c r="F2" s="29" t="s">
        <v>157</v>
      </c>
      <c r="G2" s="30"/>
      <c r="H2" s="25"/>
      <c r="J2" s="29" t="s">
        <v>158</v>
      </c>
      <c r="K2" s="30"/>
      <c r="L2" s="25"/>
      <c r="N2" s="29" t="s">
        <v>159</v>
      </c>
      <c r="O2" s="30"/>
      <c r="P2" s="25"/>
      <c r="R2" s="49" t="s">
        <v>160</v>
      </c>
      <c r="S2" s="30"/>
      <c r="T2" s="25"/>
      <c r="V2" s="33" t="s">
        <v>161</v>
      </c>
      <c r="W2" s="30"/>
      <c r="X2" s="25"/>
      <c r="AM2" s="11" t="s">
        <v>162</v>
      </c>
      <c r="AN2" s="11" t="s">
        <v>163</v>
      </c>
      <c r="AO2" s="11" t="s">
        <v>164</v>
      </c>
      <c r="AP2" s="11" t="s">
        <v>165</v>
      </c>
    </row>
    <row r="3" spans="2:42" ht="19.5" customHeight="1">
      <c r="B3" s="51"/>
      <c r="C3" s="45"/>
      <c r="D3" s="52"/>
      <c r="F3" s="26"/>
      <c r="G3" s="31"/>
      <c r="H3" s="27"/>
      <c r="J3" s="26"/>
      <c r="K3" s="31"/>
      <c r="L3" s="27"/>
      <c r="N3" s="26"/>
      <c r="O3" s="31"/>
      <c r="P3" s="27"/>
      <c r="R3" s="26"/>
      <c r="S3" s="31"/>
      <c r="T3" s="27"/>
      <c r="V3" s="26"/>
      <c r="W3" s="31"/>
      <c r="X3" s="27"/>
      <c r="AM3" s="12" t="str">
        <f t="shared" ref="AM3:AM65" si="0">IFERROR(_xlfn.RANK.EQ(AP3, $AP$3:$AP$150)+ COUNTIFS($AP$3:AP3, AP3) - 1,"")</f>
        <v/>
      </c>
      <c r="AN3" s="12">
        <f t="shared" ref="AN3:AN18" si="1">F23</f>
        <v>0</v>
      </c>
      <c r="AO3" s="12" t="s">
        <v>158</v>
      </c>
      <c r="AP3" s="12" t="str">
        <f>IFERROR(VLOOKUP(AN3,APR!$F$23:$H$38,3,FALSE),"")</f>
        <v/>
      </c>
    </row>
    <row r="4" spans="2:42" ht="19.5" customHeight="1">
      <c r="B4" s="35"/>
      <c r="C4" s="36"/>
      <c r="D4" s="37"/>
      <c r="F4" s="32">
        <f>SUM(APR!$D$23:$D$38)</f>
        <v>0</v>
      </c>
      <c r="G4" s="30"/>
      <c r="H4" s="25"/>
      <c r="J4" s="32">
        <f>SUM(APR!$H$23:$H$38)</f>
        <v>0</v>
      </c>
      <c r="K4" s="30"/>
      <c r="L4" s="25"/>
      <c r="N4" s="32">
        <f>SUM(APR!$M$23:$M$38)</f>
        <v>0</v>
      </c>
      <c r="O4" s="30"/>
      <c r="P4" s="25"/>
      <c r="R4" s="32">
        <f>SUM(APR!$R$23:$R$38)</f>
        <v>0</v>
      </c>
      <c r="S4" s="30"/>
      <c r="T4" s="25"/>
      <c r="V4" s="32">
        <f>SUM(APR!$W$23:$W$38)</f>
        <v>0</v>
      </c>
      <c r="W4" s="30"/>
      <c r="X4" s="25"/>
      <c r="AM4" s="12" t="str">
        <f t="shared" si="0"/>
        <v/>
      </c>
      <c r="AN4" s="12">
        <f t="shared" si="1"/>
        <v>0</v>
      </c>
      <c r="AO4" s="12" t="s">
        <v>158</v>
      </c>
      <c r="AP4" s="12" t="str">
        <f>IFERROR(VLOOKUP(AN4,APR!$F$23:$H$38,3,FALSE),"")</f>
        <v/>
      </c>
    </row>
    <row r="5" spans="2:42" ht="21.75" customHeight="1">
      <c r="B5" s="38" t="s">
        <v>166</v>
      </c>
      <c r="C5" s="39"/>
      <c r="D5" s="40"/>
      <c r="F5" s="26"/>
      <c r="G5" s="31"/>
      <c r="H5" s="27"/>
      <c r="J5" s="26"/>
      <c r="K5" s="31"/>
      <c r="L5" s="27"/>
      <c r="N5" s="26"/>
      <c r="O5" s="31"/>
      <c r="P5" s="27"/>
      <c r="R5" s="26"/>
      <c r="S5" s="31"/>
      <c r="T5" s="27"/>
      <c r="V5" s="26"/>
      <c r="W5" s="31"/>
      <c r="X5" s="27"/>
      <c r="AM5" s="12" t="str">
        <f t="shared" si="0"/>
        <v/>
      </c>
      <c r="AN5" s="12">
        <f t="shared" si="1"/>
        <v>0</v>
      </c>
      <c r="AO5" s="12" t="s">
        <v>158</v>
      </c>
      <c r="AP5" s="12" t="str">
        <f>IFERROR(VLOOKUP(AN5,APR!$F$23:$H$38,3,FALSE),"")</f>
        <v/>
      </c>
    </row>
    <row r="6" spans="2:42" ht="14.25" customHeight="1">
      <c r="AM6" s="12" t="str">
        <f t="shared" si="0"/>
        <v/>
      </c>
      <c r="AN6" s="12">
        <f t="shared" si="1"/>
        <v>0</v>
      </c>
      <c r="AO6" s="12" t="s">
        <v>158</v>
      </c>
      <c r="AP6" s="12" t="str">
        <f>IFERROR(VLOOKUP(AN6,APR!$F$23:$H$38,3,FALSE),"")</f>
        <v/>
      </c>
    </row>
    <row r="7" spans="2:42" ht="13.5" customHeight="1">
      <c r="B7" s="41" t="s">
        <v>167</v>
      </c>
      <c r="C7" s="42"/>
      <c r="D7" s="43"/>
      <c r="V7" s="13" t="s">
        <v>168</v>
      </c>
      <c r="W7" s="13" t="s">
        <v>163</v>
      </c>
      <c r="X7" s="13" t="s">
        <v>169</v>
      </c>
      <c r="AM7" s="12" t="str">
        <f t="shared" si="0"/>
        <v/>
      </c>
      <c r="AN7" s="12">
        <f t="shared" si="1"/>
        <v>0</v>
      </c>
      <c r="AO7" s="12" t="s">
        <v>158</v>
      </c>
      <c r="AP7" s="12" t="str">
        <f>IFERROR(VLOOKUP(AN7,APR!$F$23:$H$38,3,FALSE),"")</f>
        <v/>
      </c>
    </row>
    <row r="8" spans="2:42" ht="13.5" customHeight="1">
      <c r="B8" s="44"/>
      <c r="C8" s="45"/>
      <c r="D8" s="46"/>
      <c r="V8" s="12">
        <v>1</v>
      </c>
      <c r="W8" s="12" t="str">
        <f t="shared" ref="W8:W18" si="2">IFERROR(VLOOKUP(V8,$AM$3:$AP$65,2,FALSE),"")</f>
        <v/>
      </c>
      <c r="X8" s="12" t="str">
        <f t="shared" ref="X8:X18" si="3">IFERROR(VLOOKUP(V8,$AM$3:$AP$65,4,FALSE),"")</f>
        <v/>
      </c>
      <c r="AM8" s="12" t="str">
        <f t="shared" si="0"/>
        <v/>
      </c>
      <c r="AN8" s="12">
        <f t="shared" si="1"/>
        <v>0</v>
      </c>
      <c r="AO8" s="12" t="s">
        <v>158</v>
      </c>
      <c r="AP8" s="12" t="str">
        <f>IFERROR(VLOOKUP(AN8,APR!$F$23:$H$38,3,FALSE),"")</f>
        <v/>
      </c>
    </row>
    <row r="9" spans="2:42" ht="13.5" customHeight="1">
      <c r="B9" s="47"/>
      <c r="C9" s="31"/>
      <c r="D9" s="48"/>
      <c r="V9" s="12">
        <v>2</v>
      </c>
      <c r="W9" s="12" t="str">
        <f t="shared" si="2"/>
        <v/>
      </c>
      <c r="X9" s="12" t="str">
        <f t="shared" si="3"/>
        <v/>
      </c>
      <c r="AM9" s="12" t="str">
        <f t="shared" si="0"/>
        <v/>
      </c>
      <c r="AN9" s="12">
        <f t="shared" si="1"/>
        <v>0</v>
      </c>
      <c r="AO9" s="12" t="s">
        <v>158</v>
      </c>
      <c r="AP9" s="12" t="str">
        <f>IFERROR(VLOOKUP(AN9,APR!$F$23:$H$38,3,FALSE),"")</f>
        <v/>
      </c>
    </row>
    <row r="10" spans="2:42" ht="13.5" customHeight="1">
      <c r="B10" s="14"/>
      <c r="C10" s="14" t="s">
        <v>170</v>
      </c>
      <c r="D10" s="14" t="s">
        <v>171</v>
      </c>
      <c r="V10" s="12">
        <v>3</v>
      </c>
      <c r="W10" s="12" t="str">
        <f t="shared" si="2"/>
        <v/>
      </c>
      <c r="X10" s="12" t="str">
        <f t="shared" si="3"/>
        <v/>
      </c>
      <c r="AM10" s="12" t="str">
        <f t="shared" si="0"/>
        <v/>
      </c>
      <c r="AN10" s="12">
        <f t="shared" si="1"/>
        <v>0</v>
      </c>
      <c r="AO10" s="12" t="s">
        <v>158</v>
      </c>
      <c r="AP10" s="12" t="str">
        <f>IFERROR(VLOOKUP(AN10,APR!$F$23:$H$38,3,FALSE),"")</f>
        <v/>
      </c>
    </row>
    <row r="11" spans="2:42" ht="13.5" customHeight="1">
      <c r="B11" s="15" t="s">
        <v>157</v>
      </c>
      <c r="C11" s="16">
        <f>SUM(APR!$C$23:$C$38)</f>
        <v>0</v>
      </c>
      <c r="D11" s="17">
        <f>SUM(APR!$D$23:$D$38)</f>
        <v>0</v>
      </c>
      <c r="V11" s="12">
        <v>4</v>
      </c>
      <c r="W11" s="12" t="str">
        <f t="shared" si="2"/>
        <v/>
      </c>
      <c r="X11" s="12" t="str">
        <f t="shared" si="3"/>
        <v/>
      </c>
      <c r="AM11" s="12" t="str">
        <f t="shared" si="0"/>
        <v/>
      </c>
      <c r="AN11" s="12">
        <f t="shared" si="1"/>
        <v>0</v>
      </c>
      <c r="AO11" s="12" t="s">
        <v>158</v>
      </c>
      <c r="AP11" s="12" t="str">
        <f>IFERROR(VLOOKUP(AN11,APR!$F$23:$H$38,3,FALSE),"")</f>
        <v/>
      </c>
    </row>
    <row r="12" spans="2:42" ht="13.5" customHeight="1">
      <c r="B12" s="15" t="s">
        <v>158</v>
      </c>
      <c r="C12" s="16">
        <f>SUM(APR!$G$23:$G$38)</f>
        <v>0</v>
      </c>
      <c r="D12" s="17">
        <f>SUM(APR!$H$23:$H$38)</f>
        <v>0</v>
      </c>
      <c r="V12" s="12">
        <v>5</v>
      </c>
      <c r="W12" s="12" t="str">
        <f t="shared" si="2"/>
        <v/>
      </c>
      <c r="X12" s="12" t="str">
        <f t="shared" si="3"/>
        <v/>
      </c>
      <c r="AM12" s="12" t="str">
        <f t="shared" si="0"/>
        <v/>
      </c>
      <c r="AN12" s="12">
        <f t="shared" si="1"/>
        <v>0</v>
      </c>
      <c r="AO12" s="12" t="s">
        <v>158</v>
      </c>
      <c r="AP12" s="12" t="str">
        <f>IFERROR(VLOOKUP(AN12,APR!$F$23:$H$38,3,FALSE),"")</f>
        <v/>
      </c>
    </row>
    <row r="13" spans="2:42" ht="13.5" customHeight="1">
      <c r="B13" s="15" t="s">
        <v>159</v>
      </c>
      <c r="C13" s="16">
        <f>SUM(APR!$L$23:$L$38)</f>
        <v>0</v>
      </c>
      <c r="D13" s="17">
        <f>SUM(APR!$M$23:$M$38)</f>
        <v>0</v>
      </c>
      <c r="V13" s="12">
        <v>6</v>
      </c>
      <c r="W13" s="12" t="str">
        <f t="shared" si="2"/>
        <v/>
      </c>
      <c r="X13" s="12" t="str">
        <f t="shared" si="3"/>
        <v/>
      </c>
      <c r="AM13" s="12" t="str">
        <f t="shared" si="0"/>
        <v/>
      </c>
      <c r="AN13" s="12">
        <f t="shared" si="1"/>
        <v>0</v>
      </c>
      <c r="AO13" s="12" t="s">
        <v>158</v>
      </c>
      <c r="AP13" s="12" t="str">
        <f>IFERROR(VLOOKUP(AN13,APR!$F$23:$H$38,3,FALSE),"")</f>
        <v/>
      </c>
    </row>
    <row r="14" spans="2:42" ht="13.5" customHeight="1">
      <c r="B14" s="15" t="s">
        <v>160</v>
      </c>
      <c r="C14" s="16">
        <f>SUM(APR!$Q$23:$Q$38)</f>
        <v>0</v>
      </c>
      <c r="D14" s="17">
        <f>SUM(APR!$R$23:$R$38)</f>
        <v>0</v>
      </c>
      <c r="V14" s="12">
        <v>7</v>
      </c>
      <c r="W14" s="12" t="str">
        <f t="shared" si="2"/>
        <v/>
      </c>
      <c r="X14" s="12" t="str">
        <f t="shared" si="3"/>
        <v/>
      </c>
      <c r="AM14" s="12" t="str">
        <f t="shared" si="0"/>
        <v/>
      </c>
      <c r="AN14" s="12">
        <f t="shared" si="1"/>
        <v>0</v>
      </c>
      <c r="AO14" s="12" t="s">
        <v>158</v>
      </c>
      <c r="AP14" s="12" t="str">
        <f>IFERROR(VLOOKUP(AN14,APR!$F$23:$H$38,3,FALSE),"")</f>
        <v/>
      </c>
    </row>
    <row r="15" spans="2:42" ht="13.5" customHeight="1">
      <c r="B15" s="18" t="s">
        <v>161</v>
      </c>
      <c r="C15" s="19">
        <f>SUM(APR!$V$23:$V$38)</f>
        <v>0</v>
      </c>
      <c r="D15" s="20">
        <f>SUM(APR!$W$23:$W$38)</f>
        <v>0</v>
      </c>
      <c r="V15" s="12">
        <v>8</v>
      </c>
      <c r="W15" s="12" t="str">
        <f t="shared" si="2"/>
        <v/>
      </c>
      <c r="X15" s="12" t="str">
        <f t="shared" si="3"/>
        <v/>
      </c>
      <c r="AM15" s="12" t="str">
        <f t="shared" si="0"/>
        <v/>
      </c>
      <c r="AN15" s="12">
        <f t="shared" si="1"/>
        <v>0</v>
      </c>
      <c r="AO15" s="12" t="s">
        <v>158</v>
      </c>
      <c r="AP15" s="12" t="str">
        <f>IFERROR(VLOOKUP(AN15,APR!$F$23:$H$38,3,FALSE),"")</f>
        <v/>
      </c>
    </row>
    <row r="16" spans="2:42" ht="13.5" customHeight="1">
      <c r="B16" s="21" t="s">
        <v>172</v>
      </c>
      <c r="C16" s="22">
        <f t="shared" ref="C16:D16" si="4">(C11-SUM(C12:C15))</f>
        <v>0</v>
      </c>
      <c r="D16" s="22">
        <f t="shared" si="4"/>
        <v>0</v>
      </c>
      <c r="V16" s="12">
        <v>9</v>
      </c>
      <c r="W16" s="12" t="str">
        <f t="shared" si="2"/>
        <v/>
      </c>
      <c r="X16" s="12" t="str">
        <f t="shared" si="3"/>
        <v/>
      </c>
      <c r="AM16" s="12" t="str">
        <f t="shared" si="0"/>
        <v/>
      </c>
      <c r="AN16" s="12">
        <f t="shared" si="1"/>
        <v>0</v>
      </c>
      <c r="AO16" s="12" t="s">
        <v>158</v>
      </c>
      <c r="AP16" s="12" t="str">
        <f>IFERROR(VLOOKUP(AN16,APR!$F$23:$H$38,3,FALSE),"")</f>
        <v/>
      </c>
    </row>
    <row r="17" spans="2:42" ht="13.5" customHeight="1">
      <c r="C17" s="16"/>
      <c r="D17" s="16"/>
      <c r="V17" s="12">
        <v>10</v>
      </c>
      <c r="W17" s="12" t="str">
        <f t="shared" si="2"/>
        <v/>
      </c>
      <c r="X17" s="12" t="str">
        <f t="shared" si="3"/>
        <v/>
      </c>
      <c r="AM17" s="12" t="str">
        <f t="shared" si="0"/>
        <v/>
      </c>
      <c r="AN17" s="12">
        <f t="shared" si="1"/>
        <v>0</v>
      </c>
      <c r="AO17" s="12" t="s">
        <v>158</v>
      </c>
      <c r="AP17" s="12" t="str">
        <f>IFERROR(VLOOKUP(AN17,APR!$F$23:$H$38,3,FALSE),"")</f>
        <v/>
      </c>
    </row>
    <row r="18" spans="2:42" ht="13.5" customHeight="1">
      <c r="V18" s="12">
        <v>11</v>
      </c>
      <c r="W18" s="12" t="str">
        <f t="shared" si="2"/>
        <v/>
      </c>
      <c r="X18" s="12" t="str">
        <f t="shared" si="3"/>
        <v/>
      </c>
      <c r="AM18" s="12" t="str">
        <f t="shared" si="0"/>
        <v/>
      </c>
      <c r="AN18" s="12">
        <f t="shared" si="1"/>
        <v>0</v>
      </c>
      <c r="AO18" s="12" t="s">
        <v>158</v>
      </c>
      <c r="AP18" s="12" t="str">
        <f>IFERROR(VLOOKUP(AN18,APR!$F$23:$H$38,3,FALSE),"")</f>
        <v/>
      </c>
    </row>
    <row r="19" spans="2:42" ht="14.25" customHeight="1">
      <c r="AM19" s="12" t="str">
        <f t="shared" si="0"/>
        <v/>
      </c>
      <c r="AN19" s="12">
        <f t="shared" ref="AN19:AN34" si="5">K23</f>
        <v>0</v>
      </c>
      <c r="AO19" s="12" t="s">
        <v>159</v>
      </c>
      <c r="AP19" s="12" t="str">
        <f>IFERROR(VLOOKUP(AN19,APR!$K$23:$M$38,3,FALSE),"")</f>
        <v/>
      </c>
    </row>
    <row r="20" spans="2:42" ht="14.25" customHeight="1">
      <c r="B20" s="29" t="s">
        <v>157</v>
      </c>
      <c r="C20" s="30"/>
      <c r="D20" s="25"/>
      <c r="F20" s="29" t="s">
        <v>158</v>
      </c>
      <c r="G20" s="30"/>
      <c r="H20" s="30"/>
      <c r="I20" s="25"/>
      <c r="K20" s="29" t="s">
        <v>159</v>
      </c>
      <c r="L20" s="30"/>
      <c r="M20" s="30"/>
      <c r="N20" s="25"/>
      <c r="P20" s="49" t="s">
        <v>160</v>
      </c>
      <c r="Q20" s="30"/>
      <c r="R20" s="30"/>
      <c r="S20" s="25"/>
      <c r="U20" s="34" t="s">
        <v>161</v>
      </c>
      <c r="V20" s="30"/>
      <c r="W20" s="30"/>
      <c r="X20" s="25"/>
      <c r="AM20" s="12" t="str">
        <f t="shared" si="0"/>
        <v/>
      </c>
      <c r="AN20" s="12">
        <f t="shared" si="5"/>
        <v>0</v>
      </c>
      <c r="AO20" s="12" t="s">
        <v>159</v>
      </c>
      <c r="AP20" s="12" t="str">
        <f>IFERROR(VLOOKUP(AN20,APR!$K$23:$M$38,3,FALSE),"")</f>
        <v/>
      </c>
    </row>
    <row r="21" spans="2:42" ht="14.25" customHeight="1">
      <c r="B21" s="35"/>
      <c r="C21" s="36"/>
      <c r="D21" s="37"/>
      <c r="F21" s="35"/>
      <c r="G21" s="36"/>
      <c r="H21" s="36"/>
      <c r="I21" s="37"/>
      <c r="K21" s="35"/>
      <c r="L21" s="36"/>
      <c r="M21" s="36"/>
      <c r="N21" s="37"/>
      <c r="P21" s="35"/>
      <c r="Q21" s="36"/>
      <c r="R21" s="36"/>
      <c r="S21" s="37"/>
      <c r="U21" s="35"/>
      <c r="V21" s="36"/>
      <c r="W21" s="36"/>
      <c r="X21" s="37"/>
      <c r="AM21" s="12" t="str">
        <f t="shared" si="0"/>
        <v/>
      </c>
      <c r="AN21" s="12">
        <f t="shared" si="5"/>
        <v>0</v>
      </c>
      <c r="AO21" s="12" t="s">
        <v>159</v>
      </c>
      <c r="AP21" s="12" t="str">
        <f>IFERROR(VLOOKUP(AN21,APR!$K$23:$M$38,3,FALSE),"")</f>
        <v/>
      </c>
    </row>
    <row r="22" spans="2:42" ht="14.25" customHeight="1">
      <c r="B22" s="15" t="s">
        <v>173</v>
      </c>
      <c r="C22" s="10" t="s">
        <v>170</v>
      </c>
      <c r="D22" s="23" t="s">
        <v>171</v>
      </c>
      <c r="F22" s="15" t="s">
        <v>173</v>
      </c>
      <c r="G22" s="10" t="s">
        <v>170</v>
      </c>
      <c r="H22" s="10" t="s">
        <v>171</v>
      </c>
      <c r="I22" s="23" t="s">
        <v>174</v>
      </c>
      <c r="K22" s="15" t="s">
        <v>173</v>
      </c>
      <c r="L22" s="10" t="s">
        <v>170</v>
      </c>
      <c r="M22" s="10" t="s">
        <v>171</v>
      </c>
      <c r="N22" s="23" t="s">
        <v>174</v>
      </c>
      <c r="P22" s="15" t="s">
        <v>173</v>
      </c>
      <c r="Q22" s="10" t="s">
        <v>170</v>
      </c>
      <c r="R22" s="10" t="s">
        <v>171</v>
      </c>
      <c r="S22" s="23" t="s">
        <v>174</v>
      </c>
      <c r="U22" s="15" t="s">
        <v>173</v>
      </c>
      <c r="V22" s="10" t="s">
        <v>170</v>
      </c>
      <c r="W22" s="10" t="s">
        <v>171</v>
      </c>
      <c r="X22" s="23" t="s">
        <v>174</v>
      </c>
      <c r="AM22" s="12" t="str">
        <f t="shared" si="0"/>
        <v/>
      </c>
      <c r="AN22" s="12">
        <f t="shared" si="5"/>
        <v>0</v>
      </c>
      <c r="AO22" s="12" t="s">
        <v>159</v>
      </c>
      <c r="AP22" s="12" t="str">
        <f>IFERROR(VLOOKUP(AN22,APR!$K$23:$M$38,3,FALSE),"")</f>
        <v/>
      </c>
    </row>
    <row r="23" spans="2:42" ht="14.25" customHeight="1">
      <c r="B23" s="15"/>
      <c r="C23" s="16"/>
      <c r="D23" s="17"/>
      <c r="F23" s="15"/>
      <c r="G23" s="16"/>
      <c r="H23" s="16"/>
      <c r="I23" s="17">
        <f>APR!$G23-APR!$H23</f>
        <v>0</v>
      </c>
      <c r="K23" s="15"/>
      <c r="L23" s="16"/>
      <c r="M23" s="16"/>
      <c r="N23" s="17">
        <f>APR!$L23-APR!$M23</f>
        <v>0</v>
      </c>
      <c r="P23" s="15"/>
      <c r="Q23" s="16"/>
      <c r="R23" s="16"/>
      <c r="S23" s="17">
        <f>APR!$Q23-APR!$R23</f>
        <v>0</v>
      </c>
      <c r="U23" s="15"/>
      <c r="V23" s="16"/>
      <c r="W23" s="16"/>
      <c r="X23" s="17">
        <f>APR!$V23-APR!$W23</f>
        <v>0</v>
      </c>
      <c r="AM23" s="12" t="str">
        <f t="shared" si="0"/>
        <v/>
      </c>
      <c r="AN23" s="12">
        <f t="shared" si="5"/>
        <v>0</v>
      </c>
      <c r="AO23" s="12" t="s">
        <v>159</v>
      </c>
      <c r="AP23" s="12" t="str">
        <f>IFERROR(VLOOKUP(AN23,APR!$K$23:$M$38,3,FALSE),"")</f>
        <v/>
      </c>
    </row>
    <row r="24" spans="2:42" ht="14.25" customHeight="1">
      <c r="B24" s="15"/>
      <c r="C24" s="16"/>
      <c r="D24" s="17"/>
      <c r="F24" s="15"/>
      <c r="G24" s="16"/>
      <c r="H24" s="16"/>
      <c r="I24" s="17">
        <f>APR!$G24-APR!$H24</f>
        <v>0</v>
      </c>
      <c r="K24" s="15"/>
      <c r="L24" s="16"/>
      <c r="M24" s="16"/>
      <c r="N24" s="17">
        <f>APR!$L24-APR!$M24</f>
        <v>0</v>
      </c>
      <c r="P24" s="15"/>
      <c r="Q24" s="16"/>
      <c r="R24" s="16"/>
      <c r="S24" s="17">
        <f>APR!$Q24-APR!$R24</f>
        <v>0</v>
      </c>
      <c r="U24" s="15"/>
      <c r="V24" s="16"/>
      <c r="W24" s="16"/>
      <c r="X24" s="17">
        <f>APR!$V24-APR!$W24</f>
        <v>0</v>
      </c>
      <c r="AM24" s="12" t="str">
        <f t="shared" si="0"/>
        <v/>
      </c>
      <c r="AN24" s="12">
        <f t="shared" si="5"/>
        <v>0</v>
      </c>
      <c r="AO24" s="12" t="s">
        <v>159</v>
      </c>
      <c r="AP24" s="12" t="str">
        <f>IFERROR(VLOOKUP(AN24,APR!$K$23:$M$38,3,FALSE),"")</f>
        <v/>
      </c>
    </row>
    <row r="25" spans="2:42" ht="14.25" customHeight="1">
      <c r="B25" s="15"/>
      <c r="C25" s="16"/>
      <c r="D25" s="17"/>
      <c r="F25" s="15"/>
      <c r="G25" s="16"/>
      <c r="H25" s="16"/>
      <c r="I25" s="17">
        <f>APR!$G25-APR!$H25</f>
        <v>0</v>
      </c>
      <c r="K25" s="15"/>
      <c r="L25" s="16"/>
      <c r="M25" s="16"/>
      <c r="N25" s="17">
        <f>APR!$L25-APR!$M25</f>
        <v>0</v>
      </c>
      <c r="P25" s="15"/>
      <c r="Q25" s="16"/>
      <c r="R25" s="16"/>
      <c r="S25" s="17">
        <f>APR!$Q25-APR!$R25</f>
        <v>0</v>
      </c>
      <c r="U25" s="15"/>
      <c r="V25" s="16"/>
      <c r="W25" s="16"/>
      <c r="X25" s="17">
        <f>APR!$V25-APR!$W25</f>
        <v>0</v>
      </c>
      <c r="AM25" s="12" t="str">
        <f t="shared" si="0"/>
        <v/>
      </c>
      <c r="AN25" s="12">
        <f t="shared" si="5"/>
        <v>0</v>
      </c>
      <c r="AO25" s="12" t="s">
        <v>159</v>
      </c>
      <c r="AP25" s="12" t="str">
        <f>IFERROR(VLOOKUP(AN25,APR!$K$23:$M$38,3,FALSE),"")</f>
        <v/>
      </c>
    </row>
    <row r="26" spans="2:42" ht="14.25" customHeight="1">
      <c r="B26" s="15"/>
      <c r="C26" s="16"/>
      <c r="D26" s="17"/>
      <c r="F26" s="15"/>
      <c r="G26" s="16"/>
      <c r="H26" s="16"/>
      <c r="I26" s="17">
        <f>APR!$G26-APR!$H26</f>
        <v>0</v>
      </c>
      <c r="K26" s="15"/>
      <c r="L26" s="16"/>
      <c r="M26" s="16"/>
      <c r="N26" s="17">
        <f>APR!$L26-APR!$M26</f>
        <v>0</v>
      </c>
      <c r="P26" s="15"/>
      <c r="Q26" s="16"/>
      <c r="R26" s="16"/>
      <c r="S26" s="17">
        <f>APR!$Q26-APR!$R26</f>
        <v>0</v>
      </c>
      <c r="U26" s="15"/>
      <c r="V26" s="16"/>
      <c r="W26" s="16"/>
      <c r="X26" s="17">
        <f>APR!$V26-APR!$W26</f>
        <v>0</v>
      </c>
      <c r="AM26" s="12" t="str">
        <f t="shared" si="0"/>
        <v/>
      </c>
      <c r="AN26" s="12">
        <f t="shared" si="5"/>
        <v>0</v>
      </c>
      <c r="AO26" s="12" t="s">
        <v>159</v>
      </c>
      <c r="AP26" s="12" t="str">
        <f>IFERROR(VLOOKUP(AN26,APR!$K$23:$M$38,3,FALSE),"")</f>
        <v/>
      </c>
    </row>
    <row r="27" spans="2:42" ht="14.25" customHeight="1">
      <c r="B27" s="15"/>
      <c r="C27" s="16"/>
      <c r="D27" s="17"/>
      <c r="F27" s="15"/>
      <c r="G27" s="16"/>
      <c r="H27" s="16"/>
      <c r="I27" s="17">
        <f>APR!$G27-APR!$H27</f>
        <v>0</v>
      </c>
      <c r="K27" s="15"/>
      <c r="L27" s="16"/>
      <c r="M27" s="16"/>
      <c r="N27" s="17">
        <f>APR!$L27-APR!$M27</f>
        <v>0</v>
      </c>
      <c r="P27" s="15"/>
      <c r="Q27" s="16"/>
      <c r="R27" s="16"/>
      <c r="S27" s="17">
        <f>APR!$Q27-APR!$R27</f>
        <v>0</v>
      </c>
      <c r="U27" s="15"/>
      <c r="V27" s="16"/>
      <c r="W27" s="16"/>
      <c r="X27" s="17">
        <f>APR!$V27-APR!$W27</f>
        <v>0</v>
      </c>
      <c r="AM27" s="12" t="str">
        <f t="shared" si="0"/>
        <v/>
      </c>
      <c r="AN27" s="12">
        <f t="shared" si="5"/>
        <v>0</v>
      </c>
      <c r="AO27" s="12" t="s">
        <v>159</v>
      </c>
      <c r="AP27" s="12" t="str">
        <f>IFERROR(VLOOKUP(AN27,APR!$K$23:$M$38,3,FALSE),"")</f>
        <v/>
      </c>
    </row>
    <row r="28" spans="2:42" ht="14.25" customHeight="1">
      <c r="B28" s="15"/>
      <c r="C28" s="16"/>
      <c r="D28" s="17"/>
      <c r="F28" s="15"/>
      <c r="G28" s="16"/>
      <c r="H28" s="16"/>
      <c r="I28" s="17">
        <f>APR!$G28-APR!$H28</f>
        <v>0</v>
      </c>
      <c r="K28" s="15"/>
      <c r="L28" s="16"/>
      <c r="M28" s="16"/>
      <c r="N28" s="17">
        <f>APR!$L28-APR!$M28</f>
        <v>0</v>
      </c>
      <c r="P28" s="15"/>
      <c r="Q28" s="16"/>
      <c r="R28" s="16"/>
      <c r="S28" s="17">
        <f>APR!$Q28-APR!$R28</f>
        <v>0</v>
      </c>
      <c r="U28" s="15"/>
      <c r="V28" s="16"/>
      <c r="W28" s="16"/>
      <c r="X28" s="17">
        <f>APR!$V28-APR!$W28</f>
        <v>0</v>
      </c>
      <c r="AM28" s="12" t="str">
        <f t="shared" si="0"/>
        <v/>
      </c>
      <c r="AN28" s="12">
        <f t="shared" si="5"/>
        <v>0</v>
      </c>
      <c r="AO28" s="12" t="s">
        <v>159</v>
      </c>
      <c r="AP28" s="12" t="str">
        <f>IFERROR(VLOOKUP(AN28,APR!$K$23:$M$38,3,FALSE),"")</f>
        <v/>
      </c>
    </row>
    <row r="29" spans="2:42" ht="14.25" customHeight="1">
      <c r="B29" s="15"/>
      <c r="C29" s="16"/>
      <c r="D29" s="17"/>
      <c r="F29" s="15"/>
      <c r="G29" s="16"/>
      <c r="H29" s="16"/>
      <c r="I29" s="17">
        <f>APR!$G29-APR!$H29</f>
        <v>0</v>
      </c>
      <c r="K29" s="15"/>
      <c r="L29" s="16"/>
      <c r="M29" s="16"/>
      <c r="N29" s="17">
        <f>APR!$L29-APR!$M29</f>
        <v>0</v>
      </c>
      <c r="P29" s="15"/>
      <c r="Q29" s="16"/>
      <c r="R29" s="16"/>
      <c r="S29" s="17">
        <f>APR!$Q29-APR!$R29</f>
        <v>0</v>
      </c>
      <c r="U29" s="15"/>
      <c r="V29" s="16"/>
      <c r="W29" s="16"/>
      <c r="X29" s="17">
        <f>APR!$V29-APR!$W29</f>
        <v>0</v>
      </c>
      <c r="AM29" s="12" t="str">
        <f t="shared" si="0"/>
        <v/>
      </c>
      <c r="AN29" s="12">
        <f t="shared" si="5"/>
        <v>0</v>
      </c>
      <c r="AO29" s="12" t="s">
        <v>159</v>
      </c>
      <c r="AP29" s="12" t="str">
        <f>IFERROR(VLOOKUP(AN29,APR!$K$23:$M$38,3,FALSE),"")</f>
        <v/>
      </c>
    </row>
    <row r="30" spans="2:42" ht="14.25" customHeight="1">
      <c r="B30" s="15"/>
      <c r="C30" s="16"/>
      <c r="D30" s="17"/>
      <c r="F30" s="15"/>
      <c r="G30" s="16"/>
      <c r="H30" s="16"/>
      <c r="I30" s="17">
        <f>APR!$G30-APR!$H30</f>
        <v>0</v>
      </c>
      <c r="K30" s="15"/>
      <c r="L30" s="16"/>
      <c r="M30" s="16"/>
      <c r="N30" s="17">
        <f>APR!$L30-APR!$M30</f>
        <v>0</v>
      </c>
      <c r="P30" s="15"/>
      <c r="Q30" s="16"/>
      <c r="R30" s="16"/>
      <c r="S30" s="17">
        <f>APR!$Q30-APR!$R30</f>
        <v>0</v>
      </c>
      <c r="U30" s="15"/>
      <c r="V30" s="16"/>
      <c r="W30" s="16"/>
      <c r="X30" s="17">
        <f>APR!$V30-APR!$W30</f>
        <v>0</v>
      </c>
      <c r="AM30" s="12" t="str">
        <f t="shared" si="0"/>
        <v/>
      </c>
      <c r="AN30" s="12">
        <f t="shared" si="5"/>
        <v>0</v>
      </c>
      <c r="AO30" s="12" t="s">
        <v>159</v>
      </c>
      <c r="AP30" s="12" t="str">
        <f>IFERROR(VLOOKUP(AN30,APR!$K$23:$M$38,3,FALSE),"")</f>
        <v/>
      </c>
    </row>
    <row r="31" spans="2:42" ht="14.25" customHeight="1">
      <c r="B31" s="15"/>
      <c r="C31" s="16"/>
      <c r="D31" s="17"/>
      <c r="F31" s="15"/>
      <c r="G31" s="16"/>
      <c r="H31" s="16"/>
      <c r="I31" s="17">
        <f>APR!$G31-APR!$H31</f>
        <v>0</v>
      </c>
      <c r="K31" s="15"/>
      <c r="L31" s="16"/>
      <c r="M31" s="16"/>
      <c r="N31" s="17">
        <f>APR!$L31-APR!$M31</f>
        <v>0</v>
      </c>
      <c r="P31" s="15"/>
      <c r="Q31" s="16"/>
      <c r="R31" s="16"/>
      <c r="S31" s="17">
        <f>APR!$Q31-APR!$R31</f>
        <v>0</v>
      </c>
      <c r="U31" s="15"/>
      <c r="V31" s="16"/>
      <c r="W31" s="16"/>
      <c r="X31" s="17">
        <f>APR!$V31-APR!$W31</f>
        <v>0</v>
      </c>
      <c r="AM31" s="12" t="str">
        <f t="shared" si="0"/>
        <v/>
      </c>
      <c r="AN31" s="12">
        <f t="shared" si="5"/>
        <v>0</v>
      </c>
      <c r="AO31" s="12" t="s">
        <v>159</v>
      </c>
      <c r="AP31" s="12" t="str">
        <f>IFERROR(VLOOKUP(AN31,APR!$K$23:$M$38,3,FALSE),"")</f>
        <v/>
      </c>
    </row>
    <row r="32" spans="2:42" ht="14.25" customHeight="1">
      <c r="B32" s="15"/>
      <c r="C32" s="16"/>
      <c r="D32" s="17"/>
      <c r="F32" s="15"/>
      <c r="G32" s="16"/>
      <c r="H32" s="16"/>
      <c r="I32" s="17">
        <f>APR!$G32-APR!$H32</f>
        <v>0</v>
      </c>
      <c r="K32" s="15"/>
      <c r="L32" s="16"/>
      <c r="M32" s="16"/>
      <c r="N32" s="17">
        <f>APR!$L32-APR!$M32</f>
        <v>0</v>
      </c>
      <c r="P32" s="15"/>
      <c r="Q32" s="16"/>
      <c r="R32" s="16"/>
      <c r="S32" s="17">
        <f>APR!$Q32-APR!$R32</f>
        <v>0</v>
      </c>
      <c r="U32" s="15"/>
      <c r="V32" s="16"/>
      <c r="W32" s="16"/>
      <c r="X32" s="17">
        <f>APR!$V32-APR!$W32</f>
        <v>0</v>
      </c>
      <c r="AM32" s="12" t="str">
        <f t="shared" si="0"/>
        <v/>
      </c>
      <c r="AN32" s="12">
        <f t="shared" si="5"/>
        <v>0</v>
      </c>
      <c r="AO32" s="12" t="s">
        <v>159</v>
      </c>
      <c r="AP32" s="12" t="str">
        <f>IFERROR(VLOOKUP(AN32,APR!$K$23:$M$38,3,FALSE),"")</f>
        <v/>
      </c>
    </row>
    <row r="33" spans="2:42" ht="14.25" customHeight="1">
      <c r="B33" s="15"/>
      <c r="C33" s="16"/>
      <c r="D33" s="17"/>
      <c r="F33" s="15"/>
      <c r="G33" s="16"/>
      <c r="H33" s="16"/>
      <c r="I33" s="17">
        <f>APR!$G33-APR!$H33</f>
        <v>0</v>
      </c>
      <c r="K33" s="15"/>
      <c r="L33" s="16"/>
      <c r="M33" s="16"/>
      <c r="N33" s="17">
        <f>APR!$L33-APR!$M33</f>
        <v>0</v>
      </c>
      <c r="P33" s="15"/>
      <c r="Q33" s="16"/>
      <c r="R33" s="16"/>
      <c r="S33" s="17">
        <f>APR!$Q33-APR!$R33</f>
        <v>0</v>
      </c>
      <c r="U33" s="15"/>
      <c r="V33" s="16"/>
      <c r="W33" s="16"/>
      <c r="X33" s="17">
        <f>APR!$V33-APR!$W33</f>
        <v>0</v>
      </c>
      <c r="AM33" s="12" t="str">
        <f t="shared" si="0"/>
        <v/>
      </c>
      <c r="AN33" s="12">
        <f t="shared" si="5"/>
        <v>0</v>
      </c>
      <c r="AO33" s="12" t="s">
        <v>159</v>
      </c>
      <c r="AP33" s="12" t="str">
        <f>IFERROR(VLOOKUP(AN33,APR!$K$23:$M$38,3,FALSE),"")</f>
        <v/>
      </c>
    </row>
    <row r="34" spans="2:42" ht="14.25" customHeight="1">
      <c r="B34" s="15"/>
      <c r="C34" s="16"/>
      <c r="D34" s="17"/>
      <c r="F34" s="15"/>
      <c r="G34" s="16"/>
      <c r="H34" s="16"/>
      <c r="I34" s="17">
        <f>APR!$G34-APR!$H34</f>
        <v>0</v>
      </c>
      <c r="K34" s="15"/>
      <c r="L34" s="16"/>
      <c r="M34" s="16"/>
      <c r="N34" s="17">
        <f>APR!$L34-APR!$M34</f>
        <v>0</v>
      </c>
      <c r="P34" s="15"/>
      <c r="Q34" s="16"/>
      <c r="R34" s="16"/>
      <c r="S34" s="17">
        <f>APR!$Q34-APR!$R34</f>
        <v>0</v>
      </c>
      <c r="U34" s="15"/>
      <c r="V34" s="16"/>
      <c r="W34" s="16"/>
      <c r="X34" s="17">
        <f>APR!$V34-APR!$W34</f>
        <v>0</v>
      </c>
      <c r="AM34" s="12" t="str">
        <f t="shared" si="0"/>
        <v/>
      </c>
      <c r="AN34" s="12">
        <f t="shared" si="5"/>
        <v>0</v>
      </c>
      <c r="AO34" s="12" t="s">
        <v>175</v>
      </c>
      <c r="AP34" s="12" t="str">
        <f>IFERROR(VLOOKUP(AN34,APR!$K$23:$M$38,3,FALSE),"")</f>
        <v/>
      </c>
    </row>
    <row r="35" spans="2:42" ht="14.25" customHeight="1">
      <c r="B35" s="15"/>
      <c r="C35" s="16"/>
      <c r="D35" s="17"/>
      <c r="F35" s="15"/>
      <c r="G35" s="16"/>
      <c r="H35" s="16"/>
      <c r="I35" s="17">
        <f>APR!$G35-APR!$H35</f>
        <v>0</v>
      </c>
      <c r="K35" s="15"/>
      <c r="L35" s="16"/>
      <c r="M35" s="16"/>
      <c r="N35" s="17">
        <f>APR!$L35-APR!$M35</f>
        <v>0</v>
      </c>
      <c r="P35" s="15"/>
      <c r="Q35" s="16"/>
      <c r="R35" s="16"/>
      <c r="S35" s="17">
        <f>APR!$Q35-APR!$R35</f>
        <v>0</v>
      </c>
      <c r="U35" s="15"/>
      <c r="V35" s="16"/>
      <c r="W35" s="16"/>
      <c r="X35" s="17">
        <f>APR!$V35-APR!$W35</f>
        <v>0</v>
      </c>
      <c r="AM35" s="12" t="str">
        <f t="shared" si="0"/>
        <v/>
      </c>
      <c r="AN35" s="12">
        <f t="shared" ref="AN35:AN49" si="6">P23</f>
        <v>0</v>
      </c>
      <c r="AO35" s="12" t="s">
        <v>175</v>
      </c>
      <c r="AP35" s="12" t="str">
        <f>IFERROR(VLOOKUP(AN35,APR!$P$23:$R$38,3,FALSE),"")</f>
        <v/>
      </c>
    </row>
    <row r="36" spans="2:42" ht="14.25" customHeight="1">
      <c r="B36" s="15"/>
      <c r="C36" s="16"/>
      <c r="D36" s="17"/>
      <c r="F36" s="15"/>
      <c r="G36" s="16"/>
      <c r="H36" s="16"/>
      <c r="I36" s="17">
        <f>APR!$G36-APR!$H36</f>
        <v>0</v>
      </c>
      <c r="K36" s="15"/>
      <c r="L36" s="16"/>
      <c r="M36" s="16"/>
      <c r="N36" s="17">
        <f>APR!$L36-APR!$M36</f>
        <v>0</v>
      </c>
      <c r="P36" s="15"/>
      <c r="Q36" s="16"/>
      <c r="R36" s="16"/>
      <c r="S36" s="17">
        <f>APR!$Q36-APR!$R36</f>
        <v>0</v>
      </c>
      <c r="U36" s="15"/>
      <c r="V36" s="16"/>
      <c r="W36" s="16"/>
      <c r="X36" s="17">
        <f>APR!$V36-APR!$W36</f>
        <v>0</v>
      </c>
      <c r="AM36" s="12" t="str">
        <f t="shared" si="0"/>
        <v/>
      </c>
      <c r="AN36" s="12">
        <f t="shared" si="6"/>
        <v>0</v>
      </c>
      <c r="AO36" s="12" t="s">
        <v>175</v>
      </c>
      <c r="AP36" s="12" t="str">
        <f>IFERROR(VLOOKUP(AN36,APR!$P$23:$R$38,3,FALSE),"")</f>
        <v/>
      </c>
    </row>
    <row r="37" spans="2:42" ht="14.25" customHeight="1">
      <c r="B37" s="15"/>
      <c r="C37" s="16"/>
      <c r="D37" s="17"/>
      <c r="F37" s="15"/>
      <c r="G37" s="16"/>
      <c r="H37" s="16"/>
      <c r="I37" s="17">
        <f>APR!$G37-APR!$H37</f>
        <v>0</v>
      </c>
      <c r="K37" s="15"/>
      <c r="L37" s="16"/>
      <c r="M37" s="16"/>
      <c r="N37" s="17">
        <f>APR!$L37-APR!$M37</f>
        <v>0</v>
      </c>
      <c r="P37" s="15"/>
      <c r="Q37" s="16"/>
      <c r="R37" s="16"/>
      <c r="S37" s="17">
        <f>APR!$Q37-APR!$R37</f>
        <v>0</v>
      </c>
      <c r="U37" s="15"/>
      <c r="V37" s="16"/>
      <c r="W37" s="16"/>
      <c r="X37" s="17">
        <f>APR!$V37-APR!$W37</f>
        <v>0</v>
      </c>
      <c r="AM37" s="12" t="str">
        <f t="shared" si="0"/>
        <v/>
      </c>
      <c r="AN37" s="12">
        <f t="shared" si="6"/>
        <v>0</v>
      </c>
      <c r="AO37" s="12" t="s">
        <v>175</v>
      </c>
      <c r="AP37" s="12" t="str">
        <f>IFERROR(VLOOKUP(AN37,APR!$P$23:$R$38,3,FALSE),"")</f>
        <v/>
      </c>
    </row>
    <row r="38" spans="2:42" ht="14.25" customHeight="1">
      <c r="B38" s="18"/>
      <c r="C38" s="19"/>
      <c r="D38" s="20"/>
      <c r="F38" s="18"/>
      <c r="G38" s="19"/>
      <c r="H38" s="19"/>
      <c r="I38" s="20">
        <f>APR!$G38-APR!$H38</f>
        <v>0</v>
      </c>
      <c r="K38" s="18"/>
      <c r="L38" s="19"/>
      <c r="M38" s="19"/>
      <c r="N38" s="20">
        <f>APR!$L38-APR!$M38</f>
        <v>0</v>
      </c>
      <c r="P38" s="18"/>
      <c r="Q38" s="19"/>
      <c r="R38" s="19"/>
      <c r="S38" s="20">
        <f>APR!$Q38-APR!$R38</f>
        <v>0</v>
      </c>
      <c r="U38" s="18"/>
      <c r="V38" s="19"/>
      <c r="W38" s="19"/>
      <c r="X38" s="20">
        <f>APR!$V38-APR!$W38</f>
        <v>0</v>
      </c>
      <c r="AM38" s="12" t="str">
        <f t="shared" si="0"/>
        <v/>
      </c>
      <c r="AN38" s="12">
        <f t="shared" si="6"/>
        <v>0</v>
      </c>
      <c r="AO38" s="12" t="s">
        <v>175</v>
      </c>
      <c r="AP38" s="12" t="str">
        <f>IFERROR(VLOOKUP(AN38,APR!$P$23:$R$38,3,FALSE),"")</f>
        <v/>
      </c>
    </row>
    <row r="39" spans="2:42" ht="14.25" customHeight="1">
      <c r="AM39" s="12" t="str">
        <f t="shared" si="0"/>
        <v/>
      </c>
      <c r="AN39" s="12">
        <f t="shared" si="6"/>
        <v>0</v>
      </c>
      <c r="AO39" s="12" t="s">
        <v>175</v>
      </c>
      <c r="AP39" s="12" t="str">
        <f>IFERROR(VLOOKUP(AN39,APR!$P$23:$R$38,3,FALSE),"")</f>
        <v/>
      </c>
    </row>
    <row r="40" spans="2:42" ht="14.25" customHeight="1">
      <c r="AM40" s="12" t="str">
        <f t="shared" si="0"/>
        <v/>
      </c>
      <c r="AN40" s="12">
        <f t="shared" si="6"/>
        <v>0</v>
      </c>
      <c r="AO40" s="12" t="s">
        <v>175</v>
      </c>
      <c r="AP40" s="12" t="str">
        <f>IFERROR(VLOOKUP(AN40,APR!$P$23:$R$38,3,FALSE),"")</f>
        <v/>
      </c>
    </row>
    <row r="41" spans="2:42" ht="14.25" customHeight="1">
      <c r="AM41" s="12" t="str">
        <f t="shared" si="0"/>
        <v/>
      </c>
      <c r="AN41" s="12">
        <f t="shared" si="6"/>
        <v>0</v>
      </c>
      <c r="AO41" s="12" t="s">
        <v>175</v>
      </c>
      <c r="AP41" s="12" t="str">
        <f>IFERROR(VLOOKUP(AN41,APR!$P$23:$R$38,3,FALSE),"")</f>
        <v/>
      </c>
    </row>
    <row r="42" spans="2:42" ht="14.25" customHeight="1">
      <c r="AM42" s="12" t="str">
        <f t="shared" si="0"/>
        <v/>
      </c>
      <c r="AN42" s="12">
        <f t="shared" si="6"/>
        <v>0</v>
      </c>
      <c r="AO42" s="12" t="s">
        <v>175</v>
      </c>
      <c r="AP42" s="12" t="str">
        <f>IFERROR(VLOOKUP(AN42,APR!$P$23:$R$38,3,FALSE),"")</f>
        <v/>
      </c>
    </row>
    <row r="43" spans="2:42" ht="14.25" customHeight="1">
      <c r="AM43" s="12" t="str">
        <f t="shared" si="0"/>
        <v/>
      </c>
      <c r="AN43" s="12">
        <f t="shared" si="6"/>
        <v>0</v>
      </c>
      <c r="AO43" s="12" t="s">
        <v>175</v>
      </c>
      <c r="AP43" s="12" t="str">
        <f>IFERROR(VLOOKUP(AN43,APR!$P$23:$R$38,3,FALSE),"")</f>
        <v/>
      </c>
    </row>
    <row r="44" spans="2:42" ht="14.25" customHeight="1">
      <c r="AM44" s="12" t="str">
        <f t="shared" si="0"/>
        <v/>
      </c>
      <c r="AN44" s="12">
        <f t="shared" si="6"/>
        <v>0</v>
      </c>
      <c r="AO44" s="12" t="s">
        <v>175</v>
      </c>
      <c r="AP44" s="12" t="str">
        <f>IFERROR(VLOOKUP(AN44,APR!$P$23:$R$38,3,FALSE),"")</f>
        <v/>
      </c>
    </row>
    <row r="45" spans="2:42" ht="14.25" customHeight="1">
      <c r="AM45" s="12" t="str">
        <f t="shared" si="0"/>
        <v/>
      </c>
      <c r="AN45" s="12">
        <f t="shared" si="6"/>
        <v>0</v>
      </c>
      <c r="AO45" s="12" t="s">
        <v>175</v>
      </c>
      <c r="AP45" s="12" t="str">
        <f>IFERROR(VLOOKUP(AN45,APR!$P$23:$R$38,3,FALSE),"")</f>
        <v/>
      </c>
    </row>
    <row r="46" spans="2:42" ht="14.25" customHeight="1">
      <c r="AM46" s="12" t="str">
        <f t="shared" si="0"/>
        <v/>
      </c>
      <c r="AN46" s="12">
        <f t="shared" si="6"/>
        <v>0</v>
      </c>
      <c r="AO46" s="12" t="s">
        <v>175</v>
      </c>
      <c r="AP46" s="12" t="str">
        <f>IFERROR(VLOOKUP(AN46,APR!$P$23:$R$38,3,FALSE),"")</f>
        <v/>
      </c>
    </row>
    <row r="47" spans="2:42" ht="14.25" customHeight="1">
      <c r="AM47" s="12" t="str">
        <f t="shared" si="0"/>
        <v/>
      </c>
      <c r="AN47" s="12">
        <f t="shared" si="6"/>
        <v>0</v>
      </c>
      <c r="AO47" s="12" t="s">
        <v>175</v>
      </c>
      <c r="AP47" s="12" t="str">
        <f>IFERROR(VLOOKUP(AN47,APR!$P$23:$R$38,3,FALSE),"")</f>
        <v/>
      </c>
    </row>
    <row r="48" spans="2:42" ht="14.25" customHeight="1">
      <c r="AM48" s="12" t="str">
        <f t="shared" si="0"/>
        <v/>
      </c>
      <c r="AN48" s="12">
        <f t="shared" si="6"/>
        <v>0</v>
      </c>
      <c r="AO48" s="12" t="s">
        <v>175</v>
      </c>
      <c r="AP48" s="12" t="str">
        <f>IFERROR(VLOOKUP(AN48,APR!$P$23:$R$38,3,FALSE),"")</f>
        <v/>
      </c>
    </row>
    <row r="49" spans="39:42" ht="14.25" customHeight="1">
      <c r="AM49" s="12" t="str">
        <f t="shared" si="0"/>
        <v/>
      </c>
      <c r="AN49" s="12">
        <f t="shared" si="6"/>
        <v>0</v>
      </c>
      <c r="AO49" s="12" t="s">
        <v>161</v>
      </c>
      <c r="AP49" s="12" t="str">
        <f>IFERROR(VLOOKUP(AN49,APR!$P$23:$R$38,3,FALSE),"")</f>
        <v/>
      </c>
    </row>
    <row r="50" spans="39:42" ht="14.25" customHeight="1">
      <c r="AM50" s="12" t="str">
        <f t="shared" si="0"/>
        <v/>
      </c>
      <c r="AN50" s="12">
        <f t="shared" ref="AN50:AN65" si="7">U23</f>
        <v>0</v>
      </c>
      <c r="AO50" s="12" t="s">
        <v>161</v>
      </c>
      <c r="AP50" s="12" t="str">
        <f>IFERROR(VLOOKUP(AN50,APR!$U$23:$W$38,3,FALSE),"")</f>
        <v/>
      </c>
    </row>
    <row r="51" spans="39:42" ht="14.25" customHeight="1">
      <c r="AM51" s="12" t="str">
        <f t="shared" si="0"/>
        <v/>
      </c>
      <c r="AN51" s="12">
        <f t="shared" si="7"/>
        <v>0</v>
      </c>
      <c r="AO51" s="12" t="s">
        <v>161</v>
      </c>
      <c r="AP51" s="12" t="str">
        <f>IFERROR(VLOOKUP(AN51,APR!$U$23:$W$38,3,FALSE),"")</f>
        <v/>
      </c>
    </row>
    <row r="52" spans="39:42" ht="14.25" customHeight="1">
      <c r="AM52" s="12" t="str">
        <f t="shared" si="0"/>
        <v/>
      </c>
      <c r="AN52" s="12">
        <f t="shared" si="7"/>
        <v>0</v>
      </c>
      <c r="AO52" s="12" t="s">
        <v>161</v>
      </c>
      <c r="AP52" s="12" t="str">
        <f>IFERROR(VLOOKUP(AN52,APR!$U$23:$W$38,3,FALSE),"")</f>
        <v/>
      </c>
    </row>
    <row r="53" spans="39:42" ht="14.25" customHeight="1">
      <c r="AM53" s="12" t="str">
        <f t="shared" si="0"/>
        <v/>
      </c>
      <c r="AN53" s="12">
        <f t="shared" si="7"/>
        <v>0</v>
      </c>
      <c r="AO53" s="12" t="s">
        <v>161</v>
      </c>
      <c r="AP53" s="12" t="str">
        <f>IFERROR(VLOOKUP(AN53,APR!$U$23:$W$38,3,FALSE),"")</f>
        <v/>
      </c>
    </row>
    <row r="54" spans="39:42" ht="14.25" customHeight="1">
      <c r="AM54" s="12" t="str">
        <f t="shared" si="0"/>
        <v/>
      </c>
      <c r="AN54" s="12">
        <f t="shared" si="7"/>
        <v>0</v>
      </c>
      <c r="AO54" s="12" t="s">
        <v>161</v>
      </c>
      <c r="AP54" s="12" t="str">
        <f>IFERROR(VLOOKUP(AN54,APR!$U$23:$W$38,3,FALSE),"")</f>
        <v/>
      </c>
    </row>
    <row r="55" spans="39:42" ht="14.25" customHeight="1">
      <c r="AM55" s="12" t="str">
        <f t="shared" si="0"/>
        <v/>
      </c>
      <c r="AN55" s="12">
        <f t="shared" si="7"/>
        <v>0</v>
      </c>
      <c r="AO55" s="12" t="s">
        <v>161</v>
      </c>
      <c r="AP55" s="12" t="str">
        <f>IFERROR(VLOOKUP(AN55,APR!$U$23:$W$38,3,FALSE),"")</f>
        <v/>
      </c>
    </row>
    <row r="56" spans="39:42" ht="14.25" customHeight="1">
      <c r="AM56" s="12" t="str">
        <f t="shared" si="0"/>
        <v/>
      </c>
      <c r="AN56" s="12">
        <f t="shared" si="7"/>
        <v>0</v>
      </c>
      <c r="AO56" s="12" t="s">
        <v>161</v>
      </c>
      <c r="AP56" s="12" t="str">
        <f>IFERROR(VLOOKUP(AN56,APR!$U$23:$W$38,3,FALSE),"")</f>
        <v/>
      </c>
    </row>
    <row r="57" spans="39:42" ht="14.25" customHeight="1">
      <c r="AM57" s="12" t="str">
        <f t="shared" si="0"/>
        <v/>
      </c>
      <c r="AN57" s="12">
        <f t="shared" si="7"/>
        <v>0</v>
      </c>
      <c r="AO57" s="12" t="s">
        <v>161</v>
      </c>
      <c r="AP57" s="12" t="str">
        <f>IFERROR(VLOOKUP(AN57,APR!$U$23:$W$38,3,FALSE),"")</f>
        <v/>
      </c>
    </row>
    <row r="58" spans="39:42" ht="14.25" customHeight="1">
      <c r="AM58" s="12" t="str">
        <f t="shared" si="0"/>
        <v/>
      </c>
      <c r="AN58" s="12">
        <f t="shared" si="7"/>
        <v>0</v>
      </c>
      <c r="AO58" s="12" t="s">
        <v>161</v>
      </c>
      <c r="AP58" s="12" t="str">
        <f>IFERROR(VLOOKUP(AN58,APR!$U$23:$W$38,3,FALSE),"")</f>
        <v/>
      </c>
    </row>
    <row r="59" spans="39:42" ht="14.25" customHeight="1">
      <c r="AM59" s="12" t="str">
        <f t="shared" si="0"/>
        <v/>
      </c>
      <c r="AN59" s="12">
        <f t="shared" si="7"/>
        <v>0</v>
      </c>
      <c r="AO59" s="12" t="s">
        <v>161</v>
      </c>
      <c r="AP59" s="12" t="str">
        <f>IFERROR(VLOOKUP(AN59,APR!$U$23:$W$38,3,FALSE),"")</f>
        <v/>
      </c>
    </row>
    <row r="60" spans="39:42" ht="14.25" customHeight="1">
      <c r="AM60" s="12" t="str">
        <f t="shared" si="0"/>
        <v/>
      </c>
      <c r="AN60" s="12">
        <f t="shared" si="7"/>
        <v>0</v>
      </c>
      <c r="AO60" s="12" t="s">
        <v>161</v>
      </c>
      <c r="AP60" s="12" t="str">
        <f>IFERROR(VLOOKUP(AN60,APR!$U$23:$W$38,3,FALSE),"")</f>
        <v/>
      </c>
    </row>
    <row r="61" spans="39:42" ht="14.25" customHeight="1">
      <c r="AM61" s="12" t="str">
        <f t="shared" si="0"/>
        <v/>
      </c>
      <c r="AN61" s="12">
        <f t="shared" si="7"/>
        <v>0</v>
      </c>
      <c r="AO61" s="12" t="s">
        <v>161</v>
      </c>
      <c r="AP61" s="12" t="str">
        <f>IFERROR(VLOOKUP(AN61,APR!$U$23:$W$38,3,FALSE),"")</f>
        <v/>
      </c>
    </row>
    <row r="62" spans="39:42" ht="14.25" customHeight="1">
      <c r="AM62" s="12" t="str">
        <f t="shared" si="0"/>
        <v/>
      </c>
      <c r="AN62" s="12">
        <f t="shared" si="7"/>
        <v>0</v>
      </c>
      <c r="AO62" s="12" t="s">
        <v>161</v>
      </c>
      <c r="AP62" s="12" t="str">
        <f>IFERROR(VLOOKUP(AN62,APR!$U$23:$W$38,3,FALSE),"")</f>
        <v/>
      </c>
    </row>
    <row r="63" spans="39:42" ht="14.25" customHeight="1">
      <c r="AM63" s="12" t="str">
        <f t="shared" si="0"/>
        <v/>
      </c>
      <c r="AN63" s="12">
        <f t="shared" si="7"/>
        <v>0</v>
      </c>
      <c r="AO63" s="12" t="s">
        <v>161</v>
      </c>
      <c r="AP63" s="12" t="str">
        <f>IFERROR(VLOOKUP(AN63,APR!$U$23:$W$38,3,FALSE),"")</f>
        <v/>
      </c>
    </row>
    <row r="64" spans="39:42" ht="14.25" customHeight="1">
      <c r="AM64" s="12" t="str">
        <f t="shared" si="0"/>
        <v/>
      </c>
      <c r="AN64" s="12">
        <f t="shared" si="7"/>
        <v>0</v>
      </c>
      <c r="AO64" s="12" t="s">
        <v>161</v>
      </c>
      <c r="AP64" s="12" t="str">
        <f>IFERROR(VLOOKUP(AN64,APR!$U$23:$W$38,3,FALSE),"")</f>
        <v/>
      </c>
    </row>
    <row r="65" spans="39:42" ht="14.25" customHeight="1">
      <c r="AM65" s="12" t="str">
        <f t="shared" si="0"/>
        <v/>
      </c>
      <c r="AN65" s="12">
        <f t="shared" si="7"/>
        <v>0</v>
      </c>
      <c r="AO65" s="12" t="s">
        <v>161</v>
      </c>
      <c r="AP65" s="12" t="str">
        <f>IFERROR(VLOOKUP(AN65,APR!$U$23:$W$38,3,FALSE),"")</f>
        <v/>
      </c>
    </row>
    <row r="66" spans="39:42" ht="14.25" customHeight="1"/>
    <row r="67" spans="39:42" ht="14.25" customHeight="1"/>
    <row r="68" spans="39:42" ht="14.25" customHeight="1"/>
    <row r="69" spans="39:42" ht="14.25" customHeight="1"/>
    <row r="70" spans="39:42" ht="14.25" customHeight="1"/>
    <row r="71" spans="39:42" ht="14.25" customHeight="1"/>
    <row r="72" spans="39:42" ht="14.25" customHeight="1"/>
    <row r="73" spans="39:42" ht="14.25" customHeight="1"/>
    <row r="74" spans="39:42" ht="14.25" customHeight="1"/>
    <row r="75" spans="39:42" ht="14.25" customHeight="1"/>
    <row r="76" spans="39:42" ht="14.25" customHeight="1"/>
    <row r="77" spans="39:42" ht="14.25" customHeight="1"/>
    <row r="78" spans="39:42" ht="14.25" customHeight="1"/>
    <row r="79" spans="39:42" ht="14.25" customHeight="1"/>
    <row r="80" spans="39:4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N2:AP65" xr:uid="{00000000-0009-0000-0000-000004000000}"/>
  <mergeCells count="18">
    <mergeCell ref="B2:D4"/>
    <mergeCell ref="F2:H3"/>
    <mergeCell ref="J2:L3"/>
    <mergeCell ref="R2:T3"/>
    <mergeCell ref="F4:H5"/>
    <mergeCell ref="J4:L5"/>
    <mergeCell ref="R4:T5"/>
    <mergeCell ref="B5:D5"/>
    <mergeCell ref="B7:D9"/>
    <mergeCell ref="B20:D21"/>
    <mergeCell ref="F20:I21"/>
    <mergeCell ref="K20:N21"/>
    <mergeCell ref="N2:P3"/>
    <mergeCell ref="N4:P5"/>
    <mergeCell ref="V2:X3"/>
    <mergeCell ref="V4:X5"/>
    <mergeCell ref="U20:X21"/>
    <mergeCell ref="P20:S21"/>
  </mergeCells>
  <pageMargins left="0.7" right="0.7" top="0.75" bottom="0.75" header="0" footer="0"/>
  <pageSetup orientation="landscape"/>
  <drawing r:id="rId1"/>
  <tableParts count="5">
    <tablePart r:id="rId2"/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400-000000000000}">
          <x14:formula1>
            <xm:f>lists!$D$2:$D$21</xm:f>
          </x14:formula1>
          <xm:sqref>P23:P38</xm:sqref>
        </x14:dataValidation>
        <x14:dataValidation type="list" allowBlank="1" showErrorMessage="1" xr:uid="{00000000-0002-0000-0400-000001000000}">
          <x14:formula1>
            <xm:f>lists!$A$2:$A$35</xm:f>
          </x14:formula1>
          <xm:sqref>B23:B38</xm:sqref>
        </x14:dataValidation>
        <x14:dataValidation type="list" allowBlank="1" showErrorMessage="1" xr:uid="{00000000-0002-0000-0400-000002000000}">
          <x14:formula1>
            <xm:f>lists!$B$2:$B$24</xm:f>
          </x14:formula1>
          <xm:sqref>F23:F38</xm:sqref>
        </x14:dataValidation>
        <x14:dataValidation type="list" allowBlank="1" showErrorMessage="1" xr:uid="{00000000-0002-0000-0400-000003000000}">
          <x14:formula1>
            <xm:f>lists!$E$2:$E$25</xm:f>
          </x14:formula1>
          <xm:sqref>U23:U38</xm:sqref>
        </x14:dataValidation>
        <x14:dataValidation type="list" allowBlank="1" showErrorMessage="1" xr:uid="{00000000-0002-0000-0400-000004000000}">
          <x14:formula1>
            <xm:f>lists!$C$2:$C$32</xm:f>
          </x14:formula1>
          <xm:sqref>K23:K38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030A0"/>
  </sheetPr>
  <dimension ref="B1:AP1000"/>
  <sheetViews>
    <sheetView workbookViewId="0"/>
  </sheetViews>
  <sheetFormatPr defaultColWidth="14.3984375" defaultRowHeight="15" customHeight="1"/>
  <cols>
    <col min="1" max="1" width="3.3984375" customWidth="1"/>
    <col min="2" max="2" width="14.265625" customWidth="1"/>
    <col min="3" max="3" width="14.3984375" customWidth="1"/>
    <col min="4" max="4" width="15.3984375" customWidth="1"/>
    <col min="5" max="5" width="4.3984375" customWidth="1"/>
    <col min="6" max="6" width="12.1328125" customWidth="1"/>
    <col min="7" max="8" width="12.73046875" customWidth="1"/>
    <col min="9" max="9" width="11.73046875" customWidth="1"/>
    <col min="10" max="10" width="8.73046875" customWidth="1"/>
    <col min="11" max="11" width="10.1328125" customWidth="1"/>
    <col min="12" max="13" width="11.86328125" customWidth="1"/>
    <col min="14" max="14" width="11.73046875" customWidth="1"/>
    <col min="15" max="15" width="8.73046875" customWidth="1"/>
    <col min="16" max="16" width="13.86328125" customWidth="1"/>
    <col min="17" max="18" width="11.86328125" customWidth="1"/>
    <col min="19" max="19" width="11.73046875" customWidth="1"/>
    <col min="20" max="20" width="8.73046875" customWidth="1"/>
    <col min="21" max="21" width="16.265625" customWidth="1"/>
    <col min="22" max="22" width="13" customWidth="1"/>
    <col min="23" max="23" width="17.1328125" customWidth="1"/>
    <col min="24" max="24" width="13.86328125" customWidth="1"/>
    <col min="25" max="37" width="8.73046875" customWidth="1"/>
    <col min="38" max="39" width="8.73046875" hidden="1" customWidth="1"/>
    <col min="40" max="40" width="17.53125" hidden="1" customWidth="1"/>
    <col min="41" max="41" width="12.3984375" hidden="1" customWidth="1"/>
    <col min="42" max="42" width="14.86328125" hidden="1" customWidth="1"/>
  </cols>
  <sheetData>
    <row r="1" spans="2:42" ht="14.25" customHeight="1"/>
    <row r="2" spans="2:42" ht="19.5" customHeight="1">
      <c r="B2" s="50" t="s">
        <v>178</v>
      </c>
      <c r="C2" s="30"/>
      <c r="D2" s="25"/>
      <c r="F2" s="29" t="s">
        <v>157</v>
      </c>
      <c r="G2" s="30"/>
      <c r="H2" s="25"/>
      <c r="J2" s="29" t="s">
        <v>158</v>
      </c>
      <c r="K2" s="30"/>
      <c r="L2" s="25"/>
      <c r="N2" s="29" t="s">
        <v>159</v>
      </c>
      <c r="O2" s="30"/>
      <c r="P2" s="25"/>
      <c r="R2" s="49" t="s">
        <v>160</v>
      </c>
      <c r="S2" s="30"/>
      <c r="T2" s="25"/>
      <c r="V2" s="33" t="s">
        <v>161</v>
      </c>
      <c r="W2" s="30"/>
      <c r="X2" s="25"/>
      <c r="AM2" s="11" t="s">
        <v>162</v>
      </c>
      <c r="AN2" s="11" t="s">
        <v>163</v>
      </c>
      <c r="AO2" s="11" t="s">
        <v>164</v>
      </c>
      <c r="AP2" s="11" t="s">
        <v>165</v>
      </c>
    </row>
    <row r="3" spans="2:42" ht="19.5" customHeight="1">
      <c r="B3" s="51"/>
      <c r="C3" s="45"/>
      <c r="D3" s="52"/>
      <c r="F3" s="26"/>
      <c r="G3" s="31"/>
      <c r="H3" s="27"/>
      <c r="J3" s="26"/>
      <c r="K3" s="31"/>
      <c r="L3" s="27"/>
      <c r="N3" s="26"/>
      <c r="O3" s="31"/>
      <c r="P3" s="27"/>
      <c r="R3" s="26"/>
      <c r="S3" s="31"/>
      <c r="T3" s="27"/>
      <c r="V3" s="26"/>
      <c r="W3" s="31"/>
      <c r="X3" s="27"/>
      <c r="AM3" s="12" t="str">
        <f t="shared" ref="AM3:AM65" si="0">IFERROR(_xlfn.RANK.EQ(AP3, $AP$3:$AP$150)+ COUNTIFS($AP$3:AP3, AP3) - 1,"")</f>
        <v/>
      </c>
      <c r="AN3" s="12">
        <f t="shared" ref="AN3:AN18" si="1">F23</f>
        <v>0</v>
      </c>
      <c r="AO3" s="12" t="s">
        <v>158</v>
      </c>
      <c r="AP3" s="12" t="str">
        <f>IFERROR(VLOOKUP(AN3,MAY!$F$23:$H$38,3,FALSE),"")</f>
        <v/>
      </c>
    </row>
    <row r="4" spans="2:42" ht="19.5" customHeight="1">
      <c r="B4" s="35"/>
      <c r="C4" s="36"/>
      <c r="D4" s="37"/>
      <c r="F4" s="32">
        <f>SUM(MAY!$D$23:$D$38)</f>
        <v>0</v>
      </c>
      <c r="G4" s="30"/>
      <c r="H4" s="25"/>
      <c r="J4" s="32">
        <f>SUM(MAY!$H$23:$H$38)</f>
        <v>0</v>
      </c>
      <c r="K4" s="30"/>
      <c r="L4" s="25"/>
      <c r="N4" s="32">
        <f>SUM(MAY!$M$23:$M$38)</f>
        <v>0</v>
      </c>
      <c r="O4" s="30"/>
      <c r="P4" s="25"/>
      <c r="R4" s="32">
        <f>SUM(MAY!$R$23:$R$38)</f>
        <v>0</v>
      </c>
      <c r="S4" s="30"/>
      <c r="T4" s="25"/>
      <c r="V4" s="32">
        <f>SUM(MAY!$W$23:$W$38)</f>
        <v>0</v>
      </c>
      <c r="W4" s="30"/>
      <c r="X4" s="25"/>
      <c r="AM4" s="12" t="str">
        <f t="shared" si="0"/>
        <v/>
      </c>
      <c r="AN4" s="12">
        <f t="shared" si="1"/>
        <v>0</v>
      </c>
      <c r="AO4" s="12" t="s">
        <v>158</v>
      </c>
      <c r="AP4" s="12" t="str">
        <f>IFERROR(VLOOKUP(AN4,MAY!$F$23:$H$38,3,FALSE),"")</f>
        <v/>
      </c>
    </row>
    <row r="5" spans="2:42" ht="21.75" customHeight="1">
      <c r="B5" s="38" t="s">
        <v>166</v>
      </c>
      <c r="C5" s="39"/>
      <c r="D5" s="40"/>
      <c r="F5" s="26"/>
      <c r="G5" s="31"/>
      <c r="H5" s="27"/>
      <c r="J5" s="26"/>
      <c r="K5" s="31"/>
      <c r="L5" s="27"/>
      <c r="N5" s="26"/>
      <c r="O5" s="31"/>
      <c r="P5" s="27"/>
      <c r="R5" s="26"/>
      <c r="S5" s="31"/>
      <c r="T5" s="27"/>
      <c r="V5" s="26"/>
      <c r="W5" s="31"/>
      <c r="X5" s="27"/>
      <c r="AM5" s="12" t="str">
        <f t="shared" si="0"/>
        <v/>
      </c>
      <c r="AN5" s="12">
        <f t="shared" si="1"/>
        <v>0</v>
      </c>
      <c r="AO5" s="12" t="s">
        <v>158</v>
      </c>
      <c r="AP5" s="12" t="str">
        <f>IFERROR(VLOOKUP(AN5,MAY!$F$23:$H$38,3,FALSE),"")</f>
        <v/>
      </c>
    </row>
    <row r="6" spans="2:42" ht="14.25" customHeight="1">
      <c r="AM6" s="12" t="str">
        <f t="shared" si="0"/>
        <v/>
      </c>
      <c r="AN6" s="12">
        <f t="shared" si="1"/>
        <v>0</v>
      </c>
      <c r="AO6" s="12" t="s">
        <v>158</v>
      </c>
      <c r="AP6" s="12" t="str">
        <f>IFERROR(VLOOKUP(AN6,MAY!$F$23:$H$38,3,FALSE),"")</f>
        <v/>
      </c>
    </row>
    <row r="7" spans="2:42" ht="13.5" customHeight="1">
      <c r="B7" s="41" t="s">
        <v>167</v>
      </c>
      <c r="C7" s="42"/>
      <c r="D7" s="43"/>
      <c r="V7" s="13" t="s">
        <v>168</v>
      </c>
      <c r="W7" s="13" t="s">
        <v>163</v>
      </c>
      <c r="X7" s="13" t="s">
        <v>169</v>
      </c>
      <c r="AM7" s="12" t="str">
        <f t="shared" si="0"/>
        <v/>
      </c>
      <c r="AN7" s="12">
        <f t="shared" si="1"/>
        <v>0</v>
      </c>
      <c r="AO7" s="12" t="s">
        <v>158</v>
      </c>
      <c r="AP7" s="12" t="str">
        <f>IFERROR(VLOOKUP(AN7,MAY!$F$23:$H$38,3,FALSE),"")</f>
        <v/>
      </c>
    </row>
    <row r="8" spans="2:42" ht="13.5" customHeight="1">
      <c r="B8" s="44"/>
      <c r="C8" s="45"/>
      <c r="D8" s="46"/>
      <c r="V8" s="12">
        <v>1</v>
      </c>
      <c r="W8" s="12" t="str">
        <f t="shared" ref="W8:W18" si="2">IFERROR(VLOOKUP(V8,$AM$3:$AP$65,2,FALSE),"")</f>
        <v/>
      </c>
      <c r="X8" s="12" t="str">
        <f t="shared" ref="X8:X18" si="3">IFERROR(VLOOKUP(V8,$AM$3:$AP$65,4,FALSE),"")</f>
        <v/>
      </c>
      <c r="AM8" s="12" t="str">
        <f t="shared" si="0"/>
        <v/>
      </c>
      <c r="AN8" s="12">
        <f t="shared" si="1"/>
        <v>0</v>
      </c>
      <c r="AO8" s="12" t="s">
        <v>158</v>
      </c>
      <c r="AP8" s="12" t="str">
        <f>IFERROR(VLOOKUP(AN8,MAY!$F$23:$H$38,3,FALSE),"")</f>
        <v/>
      </c>
    </row>
    <row r="9" spans="2:42" ht="13.5" customHeight="1">
      <c r="B9" s="47"/>
      <c r="C9" s="31"/>
      <c r="D9" s="48"/>
      <c r="V9" s="12">
        <v>2</v>
      </c>
      <c r="W9" s="12" t="str">
        <f t="shared" si="2"/>
        <v/>
      </c>
      <c r="X9" s="12" t="str">
        <f t="shared" si="3"/>
        <v/>
      </c>
      <c r="AM9" s="12" t="str">
        <f t="shared" si="0"/>
        <v/>
      </c>
      <c r="AN9" s="12">
        <f t="shared" si="1"/>
        <v>0</v>
      </c>
      <c r="AO9" s="12" t="s">
        <v>158</v>
      </c>
      <c r="AP9" s="12" t="str">
        <f>IFERROR(VLOOKUP(AN9,MAY!$F$23:$H$38,3,FALSE),"")</f>
        <v/>
      </c>
    </row>
    <row r="10" spans="2:42" ht="13.5" customHeight="1">
      <c r="B10" s="14"/>
      <c r="C10" s="14" t="s">
        <v>170</v>
      </c>
      <c r="D10" s="14" t="s">
        <v>171</v>
      </c>
      <c r="V10" s="12">
        <v>3</v>
      </c>
      <c r="W10" s="12" t="str">
        <f t="shared" si="2"/>
        <v/>
      </c>
      <c r="X10" s="12" t="str">
        <f t="shared" si="3"/>
        <v/>
      </c>
      <c r="AM10" s="12" t="str">
        <f t="shared" si="0"/>
        <v/>
      </c>
      <c r="AN10" s="12">
        <f t="shared" si="1"/>
        <v>0</v>
      </c>
      <c r="AO10" s="12" t="s">
        <v>158</v>
      </c>
      <c r="AP10" s="12" t="str">
        <f>IFERROR(VLOOKUP(AN10,MAY!$F$23:$H$38,3,FALSE),"")</f>
        <v/>
      </c>
    </row>
    <row r="11" spans="2:42" ht="13.5" customHeight="1">
      <c r="B11" s="15" t="s">
        <v>157</v>
      </c>
      <c r="C11" s="16">
        <f>SUM(MAY!$C$23:$C$38)</f>
        <v>0</v>
      </c>
      <c r="D11" s="17">
        <f>SUM(MAY!$D$23:$D$38)</f>
        <v>0</v>
      </c>
      <c r="V11" s="12">
        <v>4</v>
      </c>
      <c r="W11" s="12" t="str">
        <f t="shared" si="2"/>
        <v/>
      </c>
      <c r="X11" s="12" t="str">
        <f t="shared" si="3"/>
        <v/>
      </c>
      <c r="AM11" s="12" t="str">
        <f t="shared" si="0"/>
        <v/>
      </c>
      <c r="AN11" s="12">
        <f t="shared" si="1"/>
        <v>0</v>
      </c>
      <c r="AO11" s="12" t="s">
        <v>158</v>
      </c>
      <c r="AP11" s="12" t="str">
        <f>IFERROR(VLOOKUP(AN11,MAY!$F$23:$H$38,3,FALSE),"")</f>
        <v/>
      </c>
    </row>
    <row r="12" spans="2:42" ht="13.5" customHeight="1">
      <c r="B12" s="15" t="s">
        <v>158</v>
      </c>
      <c r="C12" s="16">
        <f>SUM(MAY!$G$23:$G$38)</f>
        <v>0</v>
      </c>
      <c r="D12" s="17">
        <f>SUM(MAY!$H$23:$H$38)</f>
        <v>0</v>
      </c>
      <c r="V12" s="12">
        <v>5</v>
      </c>
      <c r="W12" s="12" t="str">
        <f t="shared" si="2"/>
        <v/>
      </c>
      <c r="X12" s="12" t="str">
        <f t="shared" si="3"/>
        <v/>
      </c>
      <c r="AM12" s="12" t="str">
        <f t="shared" si="0"/>
        <v/>
      </c>
      <c r="AN12" s="12">
        <f t="shared" si="1"/>
        <v>0</v>
      </c>
      <c r="AO12" s="12" t="s">
        <v>158</v>
      </c>
      <c r="AP12" s="12" t="str">
        <f>IFERROR(VLOOKUP(AN12,MAY!$F$23:$H$38,3,FALSE),"")</f>
        <v/>
      </c>
    </row>
    <row r="13" spans="2:42" ht="13.5" customHeight="1">
      <c r="B13" s="15" t="s">
        <v>159</v>
      </c>
      <c r="C13" s="16">
        <f>SUM(MAY!$L$23:$L$38)</f>
        <v>0</v>
      </c>
      <c r="D13" s="17">
        <f>SUM(MAY!$M$23:$M$38)</f>
        <v>0</v>
      </c>
      <c r="V13" s="12">
        <v>6</v>
      </c>
      <c r="W13" s="12" t="str">
        <f t="shared" si="2"/>
        <v/>
      </c>
      <c r="X13" s="12" t="str">
        <f t="shared" si="3"/>
        <v/>
      </c>
      <c r="AM13" s="12" t="str">
        <f t="shared" si="0"/>
        <v/>
      </c>
      <c r="AN13" s="12">
        <f t="shared" si="1"/>
        <v>0</v>
      </c>
      <c r="AO13" s="12" t="s">
        <v>158</v>
      </c>
      <c r="AP13" s="12" t="str">
        <f>IFERROR(VLOOKUP(AN13,MAY!$F$23:$H$38,3,FALSE),"")</f>
        <v/>
      </c>
    </row>
    <row r="14" spans="2:42" ht="13.5" customHeight="1">
      <c r="B14" s="15" t="s">
        <v>160</v>
      </c>
      <c r="C14" s="16">
        <f>SUM(MAY!$Q$23:$Q$38)</f>
        <v>0</v>
      </c>
      <c r="D14" s="17">
        <f>SUM(MAY!$R$23:$R$38)</f>
        <v>0</v>
      </c>
      <c r="V14" s="12">
        <v>7</v>
      </c>
      <c r="W14" s="12" t="str">
        <f t="shared" si="2"/>
        <v/>
      </c>
      <c r="X14" s="12" t="str">
        <f t="shared" si="3"/>
        <v/>
      </c>
      <c r="AM14" s="12" t="str">
        <f t="shared" si="0"/>
        <v/>
      </c>
      <c r="AN14" s="12">
        <f t="shared" si="1"/>
        <v>0</v>
      </c>
      <c r="AO14" s="12" t="s">
        <v>158</v>
      </c>
      <c r="AP14" s="12" t="str">
        <f>IFERROR(VLOOKUP(AN14,MAY!$F$23:$H$38,3,FALSE),"")</f>
        <v/>
      </c>
    </row>
    <row r="15" spans="2:42" ht="13.5" customHeight="1">
      <c r="B15" s="18" t="s">
        <v>161</v>
      </c>
      <c r="C15" s="19">
        <f>SUM(MAY!$V$23:$V$38)</f>
        <v>0</v>
      </c>
      <c r="D15" s="20">
        <f>SUM(MAY!$W$23:$W$38)</f>
        <v>0</v>
      </c>
      <c r="V15" s="12">
        <v>8</v>
      </c>
      <c r="W15" s="12" t="str">
        <f t="shared" si="2"/>
        <v/>
      </c>
      <c r="X15" s="12" t="str">
        <f t="shared" si="3"/>
        <v/>
      </c>
      <c r="AM15" s="12" t="str">
        <f t="shared" si="0"/>
        <v/>
      </c>
      <c r="AN15" s="12">
        <f t="shared" si="1"/>
        <v>0</v>
      </c>
      <c r="AO15" s="12" t="s">
        <v>158</v>
      </c>
      <c r="AP15" s="12" t="str">
        <f>IFERROR(VLOOKUP(AN15,MAY!$F$23:$H$38,3,FALSE),"")</f>
        <v/>
      </c>
    </row>
    <row r="16" spans="2:42" ht="13.5" customHeight="1">
      <c r="B16" s="21" t="s">
        <v>172</v>
      </c>
      <c r="C16" s="22">
        <f t="shared" ref="C16:D16" si="4">(C11-SUM(C12:C15))</f>
        <v>0</v>
      </c>
      <c r="D16" s="22">
        <f t="shared" si="4"/>
        <v>0</v>
      </c>
      <c r="V16" s="12">
        <v>9</v>
      </c>
      <c r="W16" s="12" t="str">
        <f t="shared" si="2"/>
        <v/>
      </c>
      <c r="X16" s="12" t="str">
        <f t="shared" si="3"/>
        <v/>
      </c>
      <c r="AM16" s="12" t="str">
        <f t="shared" si="0"/>
        <v/>
      </c>
      <c r="AN16" s="12">
        <f t="shared" si="1"/>
        <v>0</v>
      </c>
      <c r="AO16" s="12" t="s">
        <v>158</v>
      </c>
      <c r="AP16" s="12" t="str">
        <f>IFERROR(VLOOKUP(AN16,MAY!$F$23:$H$38,3,FALSE),"")</f>
        <v/>
      </c>
    </row>
    <row r="17" spans="2:42" ht="13.5" customHeight="1">
      <c r="C17" s="16"/>
      <c r="D17" s="16"/>
      <c r="V17" s="12">
        <v>10</v>
      </c>
      <c r="W17" s="12" t="str">
        <f t="shared" si="2"/>
        <v/>
      </c>
      <c r="X17" s="12" t="str">
        <f t="shared" si="3"/>
        <v/>
      </c>
      <c r="AM17" s="12" t="str">
        <f t="shared" si="0"/>
        <v/>
      </c>
      <c r="AN17" s="12">
        <f t="shared" si="1"/>
        <v>0</v>
      </c>
      <c r="AO17" s="12" t="s">
        <v>158</v>
      </c>
      <c r="AP17" s="12" t="str">
        <f>IFERROR(VLOOKUP(AN17,MAY!$F$23:$H$38,3,FALSE),"")</f>
        <v/>
      </c>
    </row>
    <row r="18" spans="2:42" ht="13.5" customHeight="1">
      <c r="V18" s="12">
        <v>11</v>
      </c>
      <c r="W18" s="12" t="str">
        <f t="shared" si="2"/>
        <v/>
      </c>
      <c r="X18" s="12" t="str">
        <f t="shared" si="3"/>
        <v/>
      </c>
      <c r="AM18" s="12" t="str">
        <f t="shared" si="0"/>
        <v/>
      </c>
      <c r="AN18" s="12">
        <f t="shared" si="1"/>
        <v>0</v>
      </c>
      <c r="AO18" s="12" t="s">
        <v>158</v>
      </c>
      <c r="AP18" s="12" t="str">
        <f>IFERROR(VLOOKUP(AN18,MAY!$F$23:$H$38,3,FALSE),"")</f>
        <v/>
      </c>
    </row>
    <row r="19" spans="2:42" ht="14.25" customHeight="1">
      <c r="AM19" s="12" t="str">
        <f t="shared" si="0"/>
        <v/>
      </c>
      <c r="AN19" s="12">
        <f t="shared" ref="AN19:AN34" si="5">K23</f>
        <v>0</v>
      </c>
      <c r="AO19" s="12" t="s">
        <v>159</v>
      </c>
      <c r="AP19" s="12" t="str">
        <f>IFERROR(VLOOKUP(AN19,MAY!$K$23:$M$38,3,FALSE),"")</f>
        <v/>
      </c>
    </row>
    <row r="20" spans="2:42" ht="14.25" customHeight="1">
      <c r="B20" s="29" t="s">
        <v>157</v>
      </c>
      <c r="C20" s="30"/>
      <c r="D20" s="25"/>
      <c r="F20" s="29" t="s">
        <v>158</v>
      </c>
      <c r="G20" s="30"/>
      <c r="H20" s="30"/>
      <c r="I20" s="25"/>
      <c r="K20" s="29" t="s">
        <v>159</v>
      </c>
      <c r="L20" s="30"/>
      <c r="M20" s="30"/>
      <c r="N20" s="25"/>
      <c r="P20" s="49" t="s">
        <v>160</v>
      </c>
      <c r="Q20" s="30"/>
      <c r="R20" s="30"/>
      <c r="S20" s="25"/>
      <c r="U20" s="34" t="s">
        <v>161</v>
      </c>
      <c r="V20" s="30"/>
      <c r="W20" s="30"/>
      <c r="X20" s="25"/>
      <c r="AM20" s="12" t="str">
        <f t="shared" si="0"/>
        <v/>
      </c>
      <c r="AN20" s="12">
        <f t="shared" si="5"/>
        <v>0</v>
      </c>
      <c r="AO20" s="12" t="s">
        <v>159</v>
      </c>
      <c r="AP20" s="12" t="str">
        <f>IFERROR(VLOOKUP(AN20,MAY!$K$23:$M$38,3,FALSE),"")</f>
        <v/>
      </c>
    </row>
    <row r="21" spans="2:42" ht="14.25" customHeight="1">
      <c r="B21" s="35"/>
      <c r="C21" s="36"/>
      <c r="D21" s="37"/>
      <c r="F21" s="35"/>
      <c r="G21" s="36"/>
      <c r="H21" s="36"/>
      <c r="I21" s="37"/>
      <c r="K21" s="35"/>
      <c r="L21" s="36"/>
      <c r="M21" s="36"/>
      <c r="N21" s="37"/>
      <c r="P21" s="35"/>
      <c r="Q21" s="36"/>
      <c r="R21" s="36"/>
      <c r="S21" s="37"/>
      <c r="U21" s="35"/>
      <c r="V21" s="36"/>
      <c r="W21" s="36"/>
      <c r="X21" s="37"/>
      <c r="AM21" s="12" t="str">
        <f t="shared" si="0"/>
        <v/>
      </c>
      <c r="AN21" s="12">
        <f t="shared" si="5"/>
        <v>0</v>
      </c>
      <c r="AO21" s="12" t="s">
        <v>159</v>
      </c>
      <c r="AP21" s="12" t="str">
        <f>IFERROR(VLOOKUP(AN21,MAY!$K$23:$M$38,3,FALSE),"")</f>
        <v/>
      </c>
    </row>
    <row r="22" spans="2:42" ht="14.25" customHeight="1">
      <c r="B22" s="15" t="s">
        <v>173</v>
      </c>
      <c r="C22" s="10" t="s">
        <v>170</v>
      </c>
      <c r="D22" s="23" t="s">
        <v>171</v>
      </c>
      <c r="F22" s="15" t="s">
        <v>173</v>
      </c>
      <c r="G22" s="10" t="s">
        <v>170</v>
      </c>
      <c r="H22" s="10" t="s">
        <v>171</v>
      </c>
      <c r="I22" s="23" t="s">
        <v>174</v>
      </c>
      <c r="K22" s="15" t="s">
        <v>173</v>
      </c>
      <c r="L22" s="10" t="s">
        <v>170</v>
      </c>
      <c r="M22" s="10" t="s">
        <v>171</v>
      </c>
      <c r="N22" s="23" t="s">
        <v>174</v>
      </c>
      <c r="P22" s="15" t="s">
        <v>173</v>
      </c>
      <c r="Q22" s="10" t="s">
        <v>170</v>
      </c>
      <c r="R22" s="10" t="s">
        <v>171</v>
      </c>
      <c r="S22" s="23" t="s">
        <v>174</v>
      </c>
      <c r="U22" s="15" t="s">
        <v>173</v>
      </c>
      <c r="V22" s="10" t="s">
        <v>170</v>
      </c>
      <c r="W22" s="10" t="s">
        <v>171</v>
      </c>
      <c r="X22" s="23" t="s">
        <v>174</v>
      </c>
      <c r="AM22" s="12" t="str">
        <f t="shared" si="0"/>
        <v/>
      </c>
      <c r="AN22" s="12">
        <f t="shared" si="5"/>
        <v>0</v>
      </c>
      <c r="AO22" s="12" t="s">
        <v>159</v>
      </c>
      <c r="AP22" s="12" t="str">
        <f>IFERROR(VLOOKUP(AN22,MAY!$K$23:$M$38,3,FALSE),"")</f>
        <v/>
      </c>
    </row>
    <row r="23" spans="2:42" ht="14.25" customHeight="1">
      <c r="B23" s="15"/>
      <c r="C23" s="16"/>
      <c r="D23" s="17"/>
      <c r="F23" s="15"/>
      <c r="G23" s="16"/>
      <c r="H23" s="16"/>
      <c r="I23" s="17">
        <f>MAY!$G23-MAY!$H23</f>
        <v>0</v>
      </c>
      <c r="K23" s="15"/>
      <c r="L23" s="16"/>
      <c r="M23" s="16"/>
      <c r="N23" s="17">
        <f>MAY!$L23-MAY!$M23</f>
        <v>0</v>
      </c>
      <c r="P23" s="15"/>
      <c r="Q23" s="16"/>
      <c r="R23" s="16"/>
      <c r="S23" s="17">
        <f>MAY!$Q23-MAY!$R23</f>
        <v>0</v>
      </c>
      <c r="U23" s="15"/>
      <c r="V23" s="16"/>
      <c r="W23" s="16"/>
      <c r="X23" s="17">
        <f>MAY!$V23-MAY!$W23</f>
        <v>0</v>
      </c>
      <c r="AM23" s="12" t="str">
        <f t="shared" si="0"/>
        <v/>
      </c>
      <c r="AN23" s="12">
        <f t="shared" si="5"/>
        <v>0</v>
      </c>
      <c r="AO23" s="12" t="s">
        <v>159</v>
      </c>
      <c r="AP23" s="12" t="str">
        <f>IFERROR(VLOOKUP(AN23,MAY!$K$23:$M$38,3,FALSE),"")</f>
        <v/>
      </c>
    </row>
    <row r="24" spans="2:42" ht="14.25" customHeight="1">
      <c r="B24" s="15"/>
      <c r="C24" s="16"/>
      <c r="D24" s="17"/>
      <c r="F24" s="15"/>
      <c r="G24" s="16"/>
      <c r="H24" s="16"/>
      <c r="I24" s="17">
        <f>MAY!$G24-MAY!$H24</f>
        <v>0</v>
      </c>
      <c r="K24" s="15"/>
      <c r="L24" s="16"/>
      <c r="M24" s="16"/>
      <c r="N24" s="17">
        <f>MAY!$L24-MAY!$M24</f>
        <v>0</v>
      </c>
      <c r="P24" s="15"/>
      <c r="Q24" s="16"/>
      <c r="R24" s="16"/>
      <c r="S24" s="17">
        <f>MAY!$Q24-MAY!$R24</f>
        <v>0</v>
      </c>
      <c r="U24" s="15"/>
      <c r="V24" s="16"/>
      <c r="W24" s="16"/>
      <c r="X24" s="17">
        <f>MAY!$V24-MAY!$W24</f>
        <v>0</v>
      </c>
      <c r="AM24" s="12" t="str">
        <f t="shared" si="0"/>
        <v/>
      </c>
      <c r="AN24" s="12">
        <f t="shared" si="5"/>
        <v>0</v>
      </c>
      <c r="AO24" s="12" t="s">
        <v>159</v>
      </c>
      <c r="AP24" s="12" t="str">
        <f>IFERROR(VLOOKUP(AN24,MAY!$K$23:$M$38,3,FALSE),"")</f>
        <v/>
      </c>
    </row>
    <row r="25" spans="2:42" ht="14.25" customHeight="1">
      <c r="B25" s="15"/>
      <c r="C25" s="16"/>
      <c r="D25" s="17"/>
      <c r="F25" s="15"/>
      <c r="G25" s="16"/>
      <c r="H25" s="16"/>
      <c r="I25" s="17">
        <f>MAY!$G25-MAY!$H25</f>
        <v>0</v>
      </c>
      <c r="K25" s="15"/>
      <c r="L25" s="16"/>
      <c r="M25" s="16"/>
      <c r="N25" s="17">
        <f>MAY!$L25-MAY!$M25</f>
        <v>0</v>
      </c>
      <c r="P25" s="15"/>
      <c r="Q25" s="16"/>
      <c r="R25" s="16"/>
      <c r="S25" s="17">
        <f>MAY!$Q25-MAY!$R25</f>
        <v>0</v>
      </c>
      <c r="U25" s="15"/>
      <c r="V25" s="16"/>
      <c r="W25" s="16"/>
      <c r="X25" s="17">
        <f>MAY!$V25-MAY!$W25</f>
        <v>0</v>
      </c>
      <c r="AM25" s="12" t="str">
        <f t="shared" si="0"/>
        <v/>
      </c>
      <c r="AN25" s="12">
        <f t="shared" si="5"/>
        <v>0</v>
      </c>
      <c r="AO25" s="12" t="s">
        <v>159</v>
      </c>
      <c r="AP25" s="12" t="str">
        <f>IFERROR(VLOOKUP(AN25,MAY!$K$23:$M$38,3,FALSE),"")</f>
        <v/>
      </c>
    </row>
    <row r="26" spans="2:42" ht="14.25" customHeight="1">
      <c r="B26" s="15"/>
      <c r="C26" s="16"/>
      <c r="D26" s="17"/>
      <c r="F26" s="15"/>
      <c r="G26" s="16"/>
      <c r="H26" s="16"/>
      <c r="I26" s="17">
        <f>MAY!$G26-MAY!$H26</f>
        <v>0</v>
      </c>
      <c r="K26" s="15"/>
      <c r="L26" s="16"/>
      <c r="M26" s="16"/>
      <c r="N26" s="17">
        <f>MAY!$L26-MAY!$M26</f>
        <v>0</v>
      </c>
      <c r="P26" s="15"/>
      <c r="Q26" s="16"/>
      <c r="R26" s="16"/>
      <c r="S26" s="17">
        <f>MAY!$Q26-MAY!$R26</f>
        <v>0</v>
      </c>
      <c r="U26" s="15"/>
      <c r="V26" s="16"/>
      <c r="W26" s="16"/>
      <c r="X26" s="17">
        <f>MAY!$V26-MAY!$W26</f>
        <v>0</v>
      </c>
      <c r="AM26" s="12" t="str">
        <f t="shared" si="0"/>
        <v/>
      </c>
      <c r="AN26" s="12">
        <f t="shared" si="5"/>
        <v>0</v>
      </c>
      <c r="AO26" s="12" t="s">
        <v>159</v>
      </c>
      <c r="AP26" s="12" t="str">
        <f>IFERROR(VLOOKUP(AN26,MAY!$K$23:$M$38,3,FALSE),"")</f>
        <v/>
      </c>
    </row>
    <row r="27" spans="2:42" ht="14.25" customHeight="1">
      <c r="B27" s="15"/>
      <c r="C27" s="16"/>
      <c r="D27" s="17"/>
      <c r="F27" s="15"/>
      <c r="G27" s="16"/>
      <c r="H27" s="16"/>
      <c r="I27" s="17">
        <f>MAY!$G27-MAY!$H27</f>
        <v>0</v>
      </c>
      <c r="K27" s="15"/>
      <c r="L27" s="16"/>
      <c r="M27" s="16"/>
      <c r="N27" s="17">
        <f>MAY!$L27-MAY!$M27</f>
        <v>0</v>
      </c>
      <c r="P27" s="15"/>
      <c r="Q27" s="16"/>
      <c r="R27" s="16"/>
      <c r="S27" s="17">
        <f>MAY!$Q27-MAY!$R27</f>
        <v>0</v>
      </c>
      <c r="U27" s="15"/>
      <c r="V27" s="16"/>
      <c r="W27" s="16"/>
      <c r="X27" s="17">
        <f>MAY!$V27-MAY!$W27</f>
        <v>0</v>
      </c>
      <c r="AM27" s="12" t="str">
        <f t="shared" si="0"/>
        <v/>
      </c>
      <c r="AN27" s="12">
        <f t="shared" si="5"/>
        <v>0</v>
      </c>
      <c r="AO27" s="12" t="s">
        <v>159</v>
      </c>
      <c r="AP27" s="12" t="str">
        <f>IFERROR(VLOOKUP(AN27,MAY!$K$23:$M$38,3,FALSE),"")</f>
        <v/>
      </c>
    </row>
    <row r="28" spans="2:42" ht="14.25" customHeight="1">
      <c r="B28" s="15"/>
      <c r="C28" s="16"/>
      <c r="D28" s="17"/>
      <c r="F28" s="15"/>
      <c r="G28" s="16"/>
      <c r="H28" s="16"/>
      <c r="I28" s="17">
        <f>MAY!$G28-MAY!$H28</f>
        <v>0</v>
      </c>
      <c r="K28" s="15"/>
      <c r="L28" s="16"/>
      <c r="M28" s="16"/>
      <c r="N28" s="17">
        <f>MAY!$L28-MAY!$M28</f>
        <v>0</v>
      </c>
      <c r="P28" s="15"/>
      <c r="Q28" s="16"/>
      <c r="R28" s="16"/>
      <c r="S28" s="17">
        <f>MAY!$Q28-MAY!$R28</f>
        <v>0</v>
      </c>
      <c r="U28" s="15"/>
      <c r="V28" s="16"/>
      <c r="W28" s="16"/>
      <c r="X28" s="17">
        <f>MAY!$V28-MAY!$W28</f>
        <v>0</v>
      </c>
      <c r="AM28" s="12" t="str">
        <f t="shared" si="0"/>
        <v/>
      </c>
      <c r="AN28" s="12">
        <f t="shared" si="5"/>
        <v>0</v>
      </c>
      <c r="AO28" s="12" t="s">
        <v>159</v>
      </c>
      <c r="AP28" s="12" t="str">
        <f>IFERROR(VLOOKUP(AN28,MAY!$K$23:$M$38,3,FALSE),"")</f>
        <v/>
      </c>
    </row>
    <row r="29" spans="2:42" ht="14.25" customHeight="1">
      <c r="B29" s="15"/>
      <c r="C29" s="16"/>
      <c r="D29" s="17"/>
      <c r="F29" s="15"/>
      <c r="G29" s="16"/>
      <c r="H29" s="16"/>
      <c r="I29" s="17">
        <f>MAY!$G29-MAY!$H29</f>
        <v>0</v>
      </c>
      <c r="K29" s="15"/>
      <c r="L29" s="16"/>
      <c r="M29" s="16"/>
      <c r="N29" s="17">
        <f>MAY!$L29-MAY!$M29</f>
        <v>0</v>
      </c>
      <c r="P29" s="15"/>
      <c r="Q29" s="16"/>
      <c r="R29" s="16"/>
      <c r="S29" s="17">
        <f>MAY!$Q29-MAY!$R29</f>
        <v>0</v>
      </c>
      <c r="U29" s="15"/>
      <c r="V29" s="16"/>
      <c r="W29" s="16"/>
      <c r="X29" s="17">
        <f>MAY!$V29-MAY!$W29</f>
        <v>0</v>
      </c>
      <c r="AM29" s="12" t="str">
        <f t="shared" si="0"/>
        <v/>
      </c>
      <c r="AN29" s="12">
        <f t="shared" si="5"/>
        <v>0</v>
      </c>
      <c r="AO29" s="12" t="s">
        <v>159</v>
      </c>
      <c r="AP29" s="12" t="str">
        <f>IFERROR(VLOOKUP(AN29,MAY!$K$23:$M$38,3,FALSE),"")</f>
        <v/>
      </c>
    </row>
    <row r="30" spans="2:42" ht="14.25" customHeight="1">
      <c r="B30" s="15"/>
      <c r="C30" s="16"/>
      <c r="D30" s="17"/>
      <c r="F30" s="15"/>
      <c r="G30" s="16"/>
      <c r="H30" s="16"/>
      <c r="I30" s="17">
        <f>MAY!$G30-MAY!$H30</f>
        <v>0</v>
      </c>
      <c r="K30" s="15"/>
      <c r="L30" s="16"/>
      <c r="M30" s="16"/>
      <c r="N30" s="17">
        <f>MAY!$L30-MAY!$M30</f>
        <v>0</v>
      </c>
      <c r="P30" s="15"/>
      <c r="Q30" s="16"/>
      <c r="R30" s="16"/>
      <c r="S30" s="17">
        <f>MAY!$Q30-MAY!$R30</f>
        <v>0</v>
      </c>
      <c r="U30" s="15"/>
      <c r="V30" s="16"/>
      <c r="W30" s="16"/>
      <c r="X30" s="17">
        <f>MAY!$V30-MAY!$W30</f>
        <v>0</v>
      </c>
      <c r="AM30" s="12" t="str">
        <f t="shared" si="0"/>
        <v/>
      </c>
      <c r="AN30" s="12">
        <f t="shared" si="5"/>
        <v>0</v>
      </c>
      <c r="AO30" s="12" t="s">
        <v>159</v>
      </c>
      <c r="AP30" s="12" t="str">
        <f>IFERROR(VLOOKUP(AN30,MAY!$K$23:$M$38,3,FALSE),"")</f>
        <v/>
      </c>
    </row>
    <row r="31" spans="2:42" ht="14.25" customHeight="1">
      <c r="B31" s="15"/>
      <c r="C31" s="16"/>
      <c r="D31" s="17"/>
      <c r="F31" s="15"/>
      <c r="G31" s="16"/>
      <c r="H31" s="16"/>
      <c r="I31" s="17">
        <f>MAY!$G31-MAY!$H31</f>
        <v>0</v>
      </c>
      <c r="K31" s="15"/>
      <c r="L31" s="16"/>
      <c r="M31" s="16"/>
      <c r="N31" s="17">
        <f>MAY!$L31-MAY!$M31</f>
        <v>0</v>
      </c>
      <c r="P31" s="15"/>
      <c r="Q31" s="16"/>
      <c r="R31" s="16"/>
      <c r="S31" s="17">
        <f>MAY!$Q31-MAY!$R31</f>
        <v>0</v>
      </c>
      <c r="U31" s="15"/>
      <c r="V31" s="16"/>
      <c r="W31" s="16"/>
      <c r="X31" s="17">
        <f>MAY!$V31-MAY!$W31</f>
        <v>0</v>
      </c>
      <c r="AM31" s="12" t="str">
        <f t="shared" si="0"/>
        <v/>
      </c>
      <c r="AN31" s="12">
        <f t="shared" si="5"/>
        <v>0</v>
      </c>
      <c r="AO31" s="12" t="s">
        <v>159</v>
      </c>
      <c r="AP31" s="12" t="str">
        <f>IFERROR(VLOOKUP(AN31,MAY!$K$23:$M$38,3,FALSE),"")</f>
        <v/>
      </c>
    </row>
    <row r="32" spans="2:42" ht="14.25" customHeight="1">
      <c r="B32" s="15"/>
      <c r="C32" s="16"/>
      <c r="D32" s="17"/>
      <c r="F32" s="15"/>
      <c r="G32" s="16"/>
      <c r="H32" s="16"/>
      <c r="I32" s="17">
        <f>MAY!$G32-MAY!$H32</f>
        <v>0</v>
      </c>
      <c r="K32" s="15"/>
      <c r="L32" s="16"/>
      <c r="M32" s="16"/>
      <c r="N32" s="17">
        <f>MAY!$L32-MAY!$M32</f>
        <v>0</v>
      </c>
      <c r="P32" s="15"/>
      <c r="Q32" s="16"/>
      <c r="R32" s="16"/>
      <c r="S32" s="17">
        <f>MAY!$Q32-MAY!$R32</f>
        <v>0</v>
      </c>
      <c r="U32" s="15"/>
      <c r="V32" s="16"/>
      <c r="W32" s="16"/>
      <c r="X32" s="17">
        <f>MAY!$V32-MAY!$W32</f>
        <v>0</v>
      </c>
      <c r="AM32" s="12" t="str">
        <f t="shared" si="0"/>
        <v/>
      </c>
      <c r="AN32" s="12">
        <f t="shared" si="5"/>
        <v>0</v>
      </c>
      <c r="AO32" s="12" t="s">
        <v>159</v>
      </c>
      <c r="AP32" s="12" t="str">
        <f>IFERROR(VLOOKUP(AN32,MAY!$K$23:$M$38,3,FALSE),"")</f>
        <v/>
      </c>
    </row>
    <row r="33" spans="2:42" ht="14.25" customHeight="1">
      <c r="B33" s="15"/>
      <c r="C33" s="16"/>
      <c r="D33" s="17"/>
      <c r="F33" s="15"/>
      <c r="G33" s="16"/>
      <c r="H33" s="16"/>
      <c r="I33" s="17">
        <f>MAY!$G33-MAY!$H33</f>
        <v>0</v>
      </c>
      <c r="K33" s="15"/>
      <c r="L33" s="16"/>
      <c r="M33" s="16"/>
      <c r="N33" s="17">
        <f>MAY!$L33-MAY!$M33</f>
        <v>0</v>
      </c>
      <c r="P33" s="15"/>
      <c r="Q33" s="16"/>
      <c r="R33" s="16"/>
      <c r="S33" s="17">
        <f>MAY!$Q33-MAY!$R33</f>
        <v>0</v>
      </c>
      <c r="U33" s="15"/>
      <c r="V33" s="16"/>
      <c r="W33" s="16"/>
      <c r="X33" s="17">
        <f>MAY!$V33-MAY!$W33</f>
        <v>0</v>
      </c>
      <c r="AM33" s="12" t="str">
        <f t="shared" si="0"/>
        <v/>
      </c>
      <c r="AN33" s="12">
        <f t="shared" si="5"/>
        <v>0</v>
      </c>
      <c r="AO33" s="12" t="s">
        <v>159</v>
      </c>
      <c r="AP33" s="12" t="str">
        <f>IFERROR(VLOOKUP(AN33,MAY!$K$23:$M$38,3,FALSE),"")</f>
        <v/>
      </c>
    </row>
    <row r="34" spans="2:42" ht="14.25" customHeight="1">
      <c r="B34" s="15"/>
      <c r="C34" s="16"/>
      <c r="D34" s="17"/>
      <c r="F34" s="15"/>
      <c r="G34" s="16"/>
      <c r="H34" s="16"/>
      <c r="I34" s="17">
        <f>MAY!$G34-MAY!$H34</f>
        <v>0</v>
      </c>
      <c r="K34" s="15"/>
      <c r="L34" s="16"/>
      <c r="M34" s="16"/>
      <c r="N34" s="17">
        <f>MAY!$L34-MAY!$M34</f>
        <v>0</v>
      </c>
      <c r="P34" s="15"/>
      <c r="Q34" s="16"/>
      <c r="R34" s="16"/>
      <c r="S34" s="17">
        <f>MAY!$Q34-MAY!$R34</f>
        <v>0</v>
      </c>
      <c r="U34" s="15"/>
      <c r="V34" s="16"/>
      <c r="W34" s="16"/>
      <c r="X34" s="17">
        <f>MAY!$V34-MAY!$W34</f>
        <v>0</v>
      </c>
      <c r="AM34" s="12" t="str">
        <f t="shared" si="0"/>
        <v/>
      </c>
      <c r="AN34" s="12">
        <f t="shared" si="5"/>
        <v>0</v>
      </c>
      <c r="AO34" s="12" t="s">
        <v>175</v>
      </c>
      <c r="AP34" s="12" t="str">
        <f>IFERROR(VLOOKUP(AN34,MAY!$K$23:$M$38,3,FALSE),"")</f>
        <v/>
      </c>
    </row>
    <row r="35" spans="2:42" ht="14.25" customHeight="1">
      <c r="B35" s="15"/>
      <c r="C35" s="16"/>
      <c r="D35" s="17"/>
      <c r="F35" s="15"/>
      <c r="G35" s="16"/>
      <c r="H35" s="16"/>
      <c r="I35" s="17">
        <f>MAY!$G35-MAY!$H35</f>
        <v>0</v>
      </c>
      <c r="K35" s="15"/>
      <c r="L35" s="16"/>
      <c r="M35" s="16"/>
      <c r="N35" s="17">
        <f>MAY!$L35-MAY!$M35</f>
        <v>0</v>
      </c>
      <c r="P35" s="15"/>
      <c r="Q35" s="16"/>
      <c r="R35" s="16"/>
      <c r="S35" s="17">
        <f>MAY!$Q35-MAY!$R35</f>
        <v>0</v>
      </c>
      <c r="U35" s="15"/>
      <c r="V35" s="16"/>
      <c r="W35" s="16"/>
      <c r="X35" s="17">
        <f>MAY!$V35-MAY!$W35</f>
        <v>0</v>
      </c>
      <c r="AM35" s="12" t="str">
        <f t="shared" si="0"/>
        <v/>
      </c>
      <c r="AN35" s="12">
        <f t="shared" ref="AN35:AN49" si="6">P23</f>
        <v>0</v>
      </c>
      <c r="AO35" s="12" t="s">
        <v>175</v>
      </c>
      <c r="AP35" s="12" t="str">
        <f>IFERROR(VLOOKUP(AN35,MAY!$P$23:$R$38,3,FALSE),"")</f>
        <v/>
      </c>
    </row>
    <row r="36" spans="2:42" ht="14.25" customHeight="1">
      <c r="B36" s="15"/>
      <c r="C36" s="16"/>
      <c r="D36" s="17"/>
      <c r="F36" s="15"/>
      <c r="G36" s="16"/>
      <c r="H36" s="16"/>
      <c r="I36" s="17">
        <f>MAY!$G36-MAY!$H36</f>
        <v>0</v>
      </c>
      <c r="K36" s="15"/>
      <c r="L36" s="16"/>
      <c r="M36" s="16"/>
      <c r="N36" s="17">
        <f>MAY!$L36-MAY!$M36</f>
        <v>0</v>
      </c>
      <c r="P36" s="15"/>
      <c r="Q36" s="16"/>
      <c r="R36" s="16"/>
      <c r="S36" s="17">
        <f>MAY!$Q36-MAY!$R36</f>
        <v>0</v>
      </c>
      <c r="U36" s="15"/>
      <c r="V36" s="16"/>
      <c r="W36" s="16"/>
      <c r="X36" s="17">
        <f>MAY!$V36-MAY!$W36</f>
        <v>0</v>
      </c>
      <c r="AM36" s="12" t="str">
        <f t="shared" si="0"/>
        <v/>
      </c>
      <c r="AN36" s="12">
        <f t="shared" si="6"/>
        <v>0</v>
      </c>
      <c r="AO36" s="12" t="s">
        <v>175</v>
      </c>
      <c r="AP36" s="12" t="str">
        <f>IFERROR(VLOOKUP(AN36,MAY!$P$23:$R$38,3,FALSE),"")</f>
        <v/>
      </c>
    </row>
    <row r="37" spans="2:42" ht="14.25" customHeight="1">
      <c r="B37" s="15"/>
      <c r="C37" s="16"/>
      <c r="D37" s="17"/>
      <c r="F37" s="15"/>
      <c r="G37" s="16"/>
      <c r="H37" s="16"/>
      <c r="I37" s="17">
        <f>MAY!$G37-MAY!$H37</f>
        <v>0</v>
      </c>
      <c r="K37" s="15"/>
      <c r="L37" s="16"/>
      <c r="M37" s="16"/>
      <c r="N37" s="17">
        <f>MAY!$L37-MAY!$M37</f>
        <v>0</v>
      </c>
      <c r="P37" s="15"/>
      <c r="Q37" s="16"/>
      <c r="R37" s="16"/>
      <c r="S37" s="17">
        <f>MAY!$Q37-MAY!$R37</f>
        <v>0</v>
      </c>
      <c r="U37" s="15"/>
      <c r="V37" s="16"/>
      <c r="W37" s="16"/>
      <c r="X37" s="17">
        <f>MAY!$V37-MAY!$W37</f>
        <v>0</v>
      </c>
      <c r="AM37" s="12" t="str">
        <f t="shared" si="0"/>
        <v/>
      </c>
      <c r="AN37" s="12">
        <f t="shared" si="6"/>
        <v>0</v>
      </c>
      <c r="AO37" s="12" t="s">
        <v>175</v>
      </c>
      <c r="AP37" s="12" t="str">
        <f>IFERROR(VLOOKUP(AN37,MAY!$P$23:$R$38,3,FALSE),"")</f>
        <v/>
      </c>
    </row>
    <row r="38" spans="2:42" ht="14.25" customHeight="1">
      <c r="B38" s="18"/>
      <c r="C38" s="19"/>
      <c r="D38" s="20"/>
      <c r="F38" s="18"/>
      <c r="G38" s="19"/>
      <c r="H38" s="19"/>
      <c r="I38" s="20">
        <f>MAY!$G38-MAY!$H38</f>
        <v>0</v>
      </c>
      <c r="K38" s="18"/>
      <c r="L38" s="19"/>
      <c r="M38" s="19"/>
      <c r="N38" s="20">
        <f>MAY!$L38-MAY!$M38</f>
        <v>0</v>
      </c>
      <c r="P38" s="18"/>
      <c r="Q38" s="19"/>
      <c r="R38" s="19"/>
      <c r="S38" s="20">
        <f>MAY!$Q38-MAY!$R38</f>
        <v>0</v>
      </c>
      <c r="U38" s="18"/>
      <c r="V38" s="19"/>
      <c r="W38" s="19"/>
      <c r="X38" s="20">
        <f>MAY!$V38-MAY!$W38</f>
        <v>0</v>
      </c>
      <c r="AM38" s="12" t="str">
        <f t="shared" si="0"/>
        <v/>
      </c>
      <c r="AN38" s="12">
        <f t="shared" si="6"/>
        <v>0</v>
      </c>
      <c r="AO38" s="12" t="s">
        <v>175</v>
      </c>
      <c r="AP38" s="12" t="str">
        <f>IFERROR(VLOOKUP(AN38,MAY!$P$23:$R$38,3,FALSE),"")</f>
        <v/>
      </c>
    </row>
    <row r="39" spans="2:42" ht="14.25" customHeight="1">
      <c r="AM39" s="12" t="str">
        <f t="shared" si="0"/>
        <v/>
      </c>
      <c r="AN39" s="12">
        <f t="shared" si="6"/>
        <v>0</v>
      </c>
      <c r="AO39" s="12" t="s">
        <v>175</v>
      </c>
      <c r="AP39" s="12" t="str">
        <f>IFERROR(VLOOKUP(AN39,MAY!$P$23:$R$38,3,FALSE),"")</f>
        <v/>
      </c>
    </row>
    <row r="40" spans="2:42" ht="14.25" customHeight="1">
      <c r="AM40" s="12" t="str">
        <f t="shared" si="0"/>
        <v/>
      </c>
      <c r="AN40" s="12">
        <f t="shared" si="6"/>
        <v>0</v>
      </c>
      <c r="AO40" s="12" t="s">
        <v>175</v>
      </c>
      <c r="AP40" s="12" t="str">
        <f>IFERROR(VLOOKUP(AN40,MAY!$P$23:$R$38,3,FALSE),"")</f>
        <v/>
      </c>
    </row>
    <row r="41" spans="2:42" ht="14.25" customHeight="1">
      <c r="AM41" s="12" t="str">
        <f t="shared" si="0"/>
        <v/>
      </c>
      <c r="AN41" s="12">
        <f t="shared" si="6"/>
        <v>0</v>
      </c>
      <c r="AO41" s="12" t="s">
        <v>175</v>
      </c>
      <c r="AP41" s="12" t="str">
        <f>IFERROR(VLOOKUP(AN41,MAY!$P$23:$R$38,3,FALSE),"")</f>
        <v/>
      </c>
    </row>
    <row r="42" spans="2:42" ht="14.25" customHeight="1">
      <c r="AM42" s="12" t="str">
        <f t="shared" si="0"/>
        <v/>
      </c>
      <c r="AN42" s="12">
        <f t="shared" si="6"/>
        <v>0</v>
      </c>
      <c r="AO42" s="12" t="s">
        <v>175</v>
      </c>
      <c r="AP42" s="12" t="str">
        <f>IFERROR(VLOOKUP(AN42,MAY!$P$23:$R$38,3,FALSE),"")</f>
        <v/>
      </c>
    </row>
    <row r="43" spans="2:42" ht="14.25" customHeight="1">
      <c r="AM43" s="12" t="str">
        <f t="shared" si="0"/>
        <v/>
      </c>
      <c r="AN43" s="12">
        <f t="shared" si="6"/>
        <v>0</v>
      </c>
      <c r="AO43" s="12" t="s">
        <v>175</v>
      </c>
      <c r="AP43" s="12" t="str">
        <f>IFERROR(VLOOKUP(AN43,MAY!$P$23:$R$38,3,FALSE),"")</f>
        <v/>
      </c>
    </row>
    <row r="44" spans="2:42" ht="14.25" customHeight="1">
      <c r="AM44" s="12" t="str">
        <f t="shared" si="0"/>
        <v/>
      </c>
      <c r="AN44" s="12">
        <f t="shared" si="6"/>
        <v>0</v>
      </c>
      <c r="AO44" s="12" t="s">
        <v>175</v>
      </c>
      <c r="AP44" s="12" t="str">
        <f>IFERROR(VLOOKUP(AN44,MAY!$P$23:$R$38,3,FALSE),"")</f>
        <v/>
      </c>
    </row>
    <row r="45" spans="2:42" ht="14.25" customHeight="1">
      <c r="AM45" s="12" t="str">
        <f t="shared" si="0"/>
        <v/>
      </c>
      <c r="AN45" s="12">
        <f t="shared" si="6"/>
        <v>0</v>
      </c>
      <c r="AO45" s="12" t="s">
        <v>175</v>
      </c>
      <c r="AP45" s="12" t="str">
        <f>IFERROR(VLOOKUP(AN45,MAY!$P$23:$R$38,3,FALSE),"")</f>
        <v/>
      </c>
    </row>
    <row r="46" spans="2:42" ht="14.25" customHeight="1">
      <c r="AM46" s="12" t="str">
        <f t="shared" si="0"/>
        <v/>
      </c>
      <c r="AN46" s="12">
        <f t="shared" si="6"/>
        <v>0</v>
      </c>
      <c r="AO46" s="12" t="s">
        <v>175</v>
      </c>
      <c r="AP46" s="12" t="str">
        <f>IFERROR(VLOOKUP(AN46,MAY!$P$23:$R$38,3,FALSE),"")</f>
        <v/>
      </c>
    </row>
    <row r="47" spans="2:42" ht="14.25" customHeight="1">
      <c r="AM47" s="12" t="str">
        <f t="shared" si="0"/>
        <v/>
      </c>
      <c r="AN47" s="12">
        <f t="shared" si="6"/>
        <v>0</v>
      </c>
      <c r="AO47" s="12" t="s">
        <v>175</v>
      </c>
      <c r="AP47" s="12" t="str">
        <f>IFERROR(VLOOKUP(AN47,MAY!$P$23:$R$38,3,FALSE),"")</f>
        <v/>
      </c>
    </row>
    <row r="48" spans="2:42" ht="14.25" customHeight="1">
      <c r="AM48" s="12" t="str">
        <f t="shared" si="0"/>
        <v/>
      </c>
      <c r="AN48" s="12">
        <f t="shared" si="6"/>
        <v>0</v>
      </c>
      <c r="AO48" s="12" t="s">
        <v>175</v>
      </c>
      <c r="AP48" s="12" t="str">
        <f>IFERROR(VLOOKUP(AN48,MAY!$P$23:$R$38,3,FALSE),"")</f>
        <v/>
      </c>
    </row>
    <row r="49" spans="39:42" ht="14.25" customHeight="1">
      <c r="AM49" s="12" t="str">
        <f t="shared" si="0"/>
        <v/>
      </c>
      <c r="AN49" s="12">
        <f t="shared" si="6"/>
        <v>0</v>
      </c>
      <c r="AO49" s="12" t="s">
        <v>161</v>
      </c>
      <c r="AP49" s="12" t="str">
        <f>IFERROR(VLOOKUP(AN49,MAY!$P$23:$R$38,3,FALSE),"")</f>
        <v/>
      </c>
    </row>
    <row r="50" spans="39:42" ht="14.25" customHeight="1">
      <c r="AM50" s="12" t="str">
        <f t="shared" si="0"/>
        <v/>
      </c>
      <c r="AN50" s="12">
        <f t="shared" ref="AN50:AN65" si="7">U23</f>
        <v>0</v>
      </c>
      <c r="AO50" s="12" t="s">
        <v>161</v>
      </c>
      <c r="AP50" s="12" t="str">
        <f>IFERROR(VLOOKUP(AN50,MAY!$U$23:$W$38,3,FALSE),"")</f>
        <v/>
      </c>
    </row>
    <row r="51" spans="39:42" ht="14.25" customHeight="1">
      <c r="AM51" s="12" t="str">
        <f t="shared" si="0"/>
        <v/>
      </c>
      <c r="AN51" s="12">
        <f t="shared" si="7"/>
        <v>0</v>
      </c>
      <c r="AO51" s="12" t="s">
        <v>161</v>
      </c>
      <c r="AP51" s="12" t="str">
        <f>IFERROR(VLOOKUP(AN51,MAY!$U$23:$W$38,3,FALSE),"")</f>
        <v/>
      </c>
    </row>
    <row r="52" spans="39:42" ht="14.25" customHeight="1">
      <c r="AM52" s="12" t="str">
        <f t="shared" si="0"/>
        <v/>
      </c>
      <c r="AN52" s="12">
        <f t="shared" si="7"/>
        <v>0</v>
      </c>
      <c r="AO52" s="12" t="s">
        <v>161</v>
      </c>
      <c r="AP52" s="12" t="str">
        <f>IFERROR(VLOOKUP(AN52,MAY!$U$23:$W$38,3,FALSE),"")</f>
        <v/>
      </c>
    </row>
    <row r="53" spans="39:42" ht="14.25" customHeight="1">
      <c r="AM53" s="12" t="str">
        <f t="shared" si="0"/>
        <v/>
      </c>
      <c r="AN53" s="12">
        <f t="shared" si="7"/>
        <v>0</v>
      </c>
      <c r="AO53" s="12" t="s">
        <v>161</v>
      </c>
      <c r="AP53" s="12" t="str">
        <f>IFERROR(VLOOKUP(AN53,MAY!$U$23:$W$38,3,FALSE),"")</f>
        <v/>
      </c>
    </row>
    <row r="54" spans="39:42" ht="14.25" customHeight="1">
      <c r="AM54" s="12" t="str">
        <f t="shared" si="0"/>
        <v/>
      </c>
      <c r="AN54" s="12">
        <f t="shared" si="7"/>
        <v>0</v>
      </c>
      <c r="AO54" s="12" t="s">
        <v>161</v>
      </c>
      <c r="AP54" s="12" t="str">
        <f>IFERROR(VLOOKUP(AN54,MAY!$U$23:$W$38,3,FALSE),"")</f>
        <v/>
      </c>
    </row>
    <row r="55" spans="39:42" ht="14.25" customHeight="1">
      <c r="AM55" s="12" t="str">
        <f t="shared" si="0"/>
        <v/>
      </c>
      <c r="AN55" s="12">
        <f t="shared" si="7"/>
        <v>0</v>
      </c>
      <c r="AO55" s="12" t="s">
        <v>161</v>
      </c>
      <c r="AP55" s="12" t="str">
        <f>IFERROR(VLOOKUP(AN55,MAY!$U$23:$W$38,3,FALSE),"")</f>
        <v/>
      </c>
    </row>
    <row r="56" spans="39:42" ht="14.25" customHeight="1">
      <c r="AM56" s="12" t="str">
        <f t="shared" si="0"/>
        <v/>
      </c>
      <c r="AN56" s="12">
        <f t="shared" si="7"/>
        <v>0</v>
      </c>
      <c r="AO56" s="12" t="s">
        <v>161</v>
      </c>
      <c r="AP56" s="12" t="str">
        <f>IFERROR(VLOOKUP(AN56,MAY!$U$23:$W$38,3,FALSE),"")</f>
        <v/>
      </c>
    </row>
    <row r="57" spans="39:42" ht="14.25" customHeight="1">
      <c r="AM57" s="12" t="str">
        <f t="shared" si="0"/>
        <v/>
      </c>
      <c r="AN57" s="12">
        <f t="shared" si="7"/>
        <v>0</v>
      </c>
      <c r="AO57" s="12" t="s">
        <v>161</v>
      </c>
      <c r="AP57" s="12" t="str">
        <f>IFERROR(VLOOKUP(AN57,MAY!$U$23:$W$38,3,FALSE),"")</f>
        <v/>
      </c>
    </row>
    <row r="58" spans="39:42" ht="14.25" customHeight="1">
      <c r="AM58" s="12" t="str">
        <f t="shared" si="0"/>
        <v/>
      </c>
      <c r="AN58" s="12">
        <f t="shared" si="7"/>
        <v>0</v>
      </c>
      <c r="AO58" s="12" t="s">
        <v>161</v>
      </c>
      <c r="AP58" s="12" t="str">
        <f>IFERROR(VLOOKUP(AN58,MAY!$U$23:$W$38,3,FALSE),"")</f>
        <v/>
      </c>
    </row>
    <row r="59" spans="39:42" ht="14.25" customHeight="1">
      <c r="AM59" s="12" t="str">
        <f t="shared" si="0"/>
        <v/>
      </c>
      <c r="AN59" s="12">
        <f t="shared" si="7"/>
        <v>0</v>
      </c>
      <c r="AO59" s="12" t="s">
        <v>161</v>
      </c>
      <c r="AP59" s="12" t="str">
        <f>IFERROR(VLOOKUP(AN59,MAY!$U$23:$W$38,3,FALSE),"")</f>
        <v/>
      </c>
    </row>
    <row r="60" spans="39:42" ht="14.25" customHeight="1">
      <c r="AM60" s="12" t="str">
        <f t="shared" si="0"/>
        <v/>
      </c>
      <c r="AN60" s="12">
        <f t="shared" si="7"/>
        <v>0</v>
      </c>
      <c r="AO60" s="12" t="s">
        <v>161</v>
      </c>
      <c r="AP60" s="12" t="str">
        <f>IFERROR(VLOOKUP(AN60,MAY!$U$23:$W$38,3,FALSE),"")</f>
        <v/>
      </c>
    </row>
    <row r="61" spans="39:42" ht="14.25" customHeight="1">
      <c r="AM61" s="12" t="str">
        <f t="shared" si="0"/>
        <v/>
      </c>
      <c r="AN61" s="12">
        <f t="shared" si="7"/>
        <v>0</v>
      </c>
      <c r="AO61" s="12" t="s">
        <v>161</v>
      </c>
      <c r="AP61" s="12" t="str">
        <f>IFERROR(VLOOKUP(AN61,MAY!$U$23:$W$38,3,FALSE),"")</f>
        <v/>
      </c>
    </row>
    <row r="62" spans="39:42" ht="14.25" customHeight="1">
      <c r="AM62" s="12" t="str">
        <f t="shared" si="0"/>
        <v/>
      </c>
      <c r="AN62" s="12">
        <f t="shared" si="7"/>
        <v>0</v>
      </c>
      <c r="AO62" s="12" t="s">
        <v>161</v>
      </c>
      <c r="AP62" s="12" t="str">
        <f>IFERROR(VLOOKUP(AN62,MAY!$U$23:$W$38,3,FALSE),"")</f>
        <v/>
      </c>
    </row>
    <row r="63" spans="39:42" ht="14.25" customHeight="1">
      <c r="AM63" s="12" t="str">
        <f t="shared" si="0"/>
        <v/>
      </c>
      <c r="AN63" s="12">
        <f t="shared" si="7"/>
        <v>0</v>
      </c>
      <c r="AO63" s="12" t="s">
        <v>161</v>
      </c>
      <c r="AP63" s="12" t="str">
        <f>IFERROR(VLOOKUP(AN63,MAY!$U$23:$W$38,3,FALSE),"")</f>
        <v/>
      </c>
    </row>
    <row r="64" spans="39:42" ht="14.25" customHeight="1">
      <c r="AM64" s="12" t="str">
        <f t="shared" si="0"/>
        <v/>
      </c>
      <c r="AN64" s="12">
        <f t="shared" si="7"/>
        <v>0</v>
      </c>
      <c r="AO64" s="12" t="s">
        <v>161</v>
      </c>
      <c r="AP64" s="12" t="str">
        <f>IFERROR(VLOOKUP(AN64,MAY!$U$23:$W$38,3,FALSE),"")</f>
        <v/>
      </c>
    </row>
    <row r="65" spans="39:42" ht="14.25" customHeight="1">
      <c r="AM65" s="12" t="str">
        <f t="shared" si="0"/>
        <v/>
      </c>
      <c r="AN65" s="12">
        <f t="shared" si="7"/>
        <v>0</v>
      </c>
      <c r="AO65" s="12" t="s">
        <v>161</v>
      </c>
      <c r="AP65" s="12" t="str">
        <f>IFERROR(VLOOKUP(AN65,MAY!$U$23:$W$38,3,FALSE),"")</f>
        <v/>
      </c>
    </row>
    <row r="66" spans="39:42" ht="14.25" customHeight="1"/>
    <row r="67" spans="39:42" ht="14.25" customHeight="1"/>
    <row r="68" spans="39:42" ht="14.25" customHeight="1"/>
    <row r="69" spans="39:42" ht="14.25" customHeight="1"/>
    <row r="70" spans="39:42" ht="14.25" customHeight="1"/>
    <row r="71" spans="39:42" ht="14.25" customHeight="1"/>
    <row r="72" spans="39:42" ht="14.25" customHeight="1"/>
    <row r="73" spans="39:42" ht="14.25" customHeight="1"/>
    <row r="74" spans="39:42" ht="14.25" customHeight="1"/>
    <row r="75" spans="39:42" ht="14.25" customHeight="1"/>
    <row r="76" spans="39:42" ht="14.25" customHeight="1"/>
    <row r="77" spans="39:42" ht="14.25" customHeight="1"/>
    <row r="78" spans="39:42" ht="14.25" customHeight="1"/>
    <row r="79" spans="39:42" ht="14.25" customHeight="1"/>
    <row r="80" spans="39:4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N2:AP65" xr:uid="{00000000-0009-0000-0000-000005000000}"/>
  <mergeCells count="18">
    <mergeCell ref="B2:D4"/>
    <mergeCell ref="F2:H3"/>
    <mergeCell ref="J2:L3"/>
    <mergeCell ref="R2:T3"/>
    <mergeCell ref="F4:H5"/>
    <mergeCell ref="J4:L5"/>
    <mergeCell ref="R4:T5"/>
    <mergeCell ref="B5:D5"/>
    <mergeCell ref="B7:D9"/>
    <mergeCell ref="B20:D21"/>
    <mergeCell ref="F20:I21"/>
    <mergeCell ref="K20:N21"/>
    <mergeCell ref="N2:P3"/>
    <mergeCell ref="N4:P5"/>
    <mergeCell ref="V2:X3"/>
    <mergeCell ref="V4:X5"/>
    <mergeCell ref="U20:X21"/>
    <mergeCell ref="P20:S21"/>
  </mergeCells>
  <pageMargins left="0.7" right="0.7" top="0.75" bottom="0.75" header="0" footer="0"/>
  <pageSetup orientation="landscape"/>
  <drawing r:id="rId1"/>
  <tableParts count="5">
    <tablePart r:id="rId2"/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500-000000000000}">
          <x14:formula1>
            <xm:f>lists!$D$2:$D$21</xm:f>
          </x14:formula1>
          <xm:sqref>P23:P38</xm:sqref>
        </x14:dataValidation>
        <x14:dataValidation type="list" allowBlank="1" showErrorMessage="1" xr:uid="{00000000-0002-0000-0500-000001000000}">
          <x14:formula1>
            <xm:f>lists!$A$2:$A$35</xm:f>
          </x14:formula1>
          <xm:sqref>B23:B38</xm:sqref>
        </x14:dataValidation>
        <x14:dataValidation type="list" allowBlank="1" showErrorMessage="1" xr:uid="{00000000-0002-0000-0500-000002000000}">
          <x14:formula1>
            <xm:f>lists!$B$2:$B$24</xm:f>
          </x14:formula1>
          <xm:sqref>F23:F38</xm:sqref>
        </x14:dataValidation>
        <x14:dataValidation type="list" allowBlank="1" showErrorMessage="1" xr:uid="{00000000-0002-0000-0500-000003000000}">
          <x14:formula1>
            <xm:f>lists!$E$2:$E$25</xm:f>
          </x14:formula1>
          <xm:sqref>U23:U38</xm:sqref>
        </x14:dataValidation>
        <x14:dataValidation type="list" allowBlank="1" showErrorMessage="1" xr:uid="{00000000-0002-0000-0500-000004000000}">
          <x14:formula1>
            <xm:f>lists!$C$2:$C$32</xm:f>
          </x14:formula1>
          <xm:sqref>K23:K38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3F3F3F"/>
  </sheetPr>
  <dimension ref="B1:AP1000"/>
  <sheetViews>
    <sheetView workbookViewId="0"/>
  </sheetViews>
  <sheetFormatPr defaultColWidth="14.3984375" defaultRowHeight="15" customHeight="1"/>
  <cols>
    <col min="1" max="1" width="3.3984375" customWidth="1"/>
    <col min="2" max="2" width="14.265625" customWidth="1"/>
    <col min="3" max="3" width="14.3984375" customWidth="1"/>
    <col min="4" max="4" width="15.3984375" customWidth="1"/>
    <col min="5" max="5" width="4.3984375" customWidth="1"/>
    <col min="6" max="6" width="12.1328125" customWidth="1"/>
    <col min="7" max="8" width="12.73046875" customWidth="1"/>
    <col min="9" max="9" width="11.73046875" customWidth="1"/>
    <col min="10" max="10" width="8.73046875" customWidth="1"/>
    <col min="11" max="11" width="10.1328125" customWidth="1"/>
    <col min="12" max="13" width="11.86328125" customWidth="1"/>
    <col min="14" max="14" width="11.73046875" customWidth="1"/>
    <col min="15" max="15" width="8.73046875" customWidth="1"/>
    <col min="16" max="16" width="13.86328125" customWidth="1"/>
    <col min="17" max="18" width="11.86328125" customWidth="1"/>
    <col min="19" max="19" width="11.73046875" customWidth="1"/>
    <col min="20" max="20" width="8.73046875" customWidth="1"/>
    <col min="21" max="21" width="16.265625" customWidth="1"/>
    <col min="22" max="22" width="13" customWidth="1"/>
    <col min="23" max="23" width="17.1328125" customWidth="1"/>
    <col min="24" max="24" width="13.86328125" customWidth="1"/>
    <col min="25" max="37" width="8.73046875" customWidth="1"/>
    <col min="38" max="39" width="8.73046875" hidden="1" customWidth="1"/>
    <col min="40" max="40" width="17.53125" hidden="1" customWidth="1"/>
    <col min="41" max="41" width="12.3984375" hidden="1" customWidth="1"/>
    <col min="42" max="42" width="14.86328125" hidden="1" customWidth="1"/>
  </cols>
  <sheetData>
    <row r="1" spans="2:42" ht="14.25" customHeight="1"/>
    <row r="2" spans="2:42" ht="19.5" customHeight="1">
      <c r="B2" s="50" t="s">
        <v>179</v>
      </c>
      <c r="C2" s="30"/>
      <c r="D2" s="25"/>
      <c r="F2" s="29" t="s">
        <v>157</v>
      </c>
      <c r="G2" s="30"/>
      <c r="H2" s="25"/>
      <c r="J2" s="29" t="s">
        <v>158</v>
      </c>
      <c r="K2" s="30"/>
      <c r="L2" s="25"/>
      <c r="N2" s="29" t="s">
        <v>159</v>
      </c>
      <c r="O2" s="30"/>
      <c r="P2" s="25"/>
      <c r="R2" s="49" t="s">
        <v>160</v>
      </c>
      <c r="S2" s="30"/>
      <c r="T2" s="25"/>
      <c r="V2" s="33" t="s">
        <v>161</v>
      </c>
      <c r="W2" s="30"/>
      <c r="X2" s="25"/>
      <c r="AM2" s="11" t="s">
        <v>162</v>
      </c>
      <c r="AN2" s="11" t="s">
        <v>163</v>
      </c>
      <c r="AO2" s="11" t="s">
        <v>164</v>
      </c>
      <c r="AP2" s="11" t="s">
        <v>165</v>
      </c>
    </row>
    <row r="3" spans="2:42" ht="19.5" customHeight="1">
      <c r="B3" s="51"/>
      <c r="C3" s="45"/>
      <c r="D3" s="52"/>
      <c r="F3" s="26"/>
      <c r="G3" s="31"/>
      <c r="H3" s="27"/>
      <c r="J3" s="26"/>
      <c r="K3" s="31"/>
      <c r="L3" s="27"/>
      <c r="N3" s="26"/>
      <c r="O3" s="31"/>
      <c r="P3" s="27"/>
      <c r="R3" s="26"/>
      <c r="S3" s="31"/>
      <c r="T3" s="27"/>
      <c r="V3" s="26"/>
      <c r="W3" s="31"/>
      <c r="X3" s="27"/>
      <c r="AM3" s="12" t="str">
        <f t="shared" ref="AM3:AM65" si="0">IFERROR(_xlfn.RANK.EQ(AP3, $AP$3:$AP$150)+ COUNTIFS($AP$3:AP3, AP3) - 1,"")</f>
        <v/>
      </c>
      <c r="AN3" s="12">
        <f t="shared" ref="AN3:AN18" si="1">F23</f>
        <v>0</v>
      </c>
      <c r="AO3" s="12" t="s">
        <v>158</v>
      </c>
      <c r="AP3" s="12" t="str">
        <f>IFERROR(VLOOKUP(AN3,JUN!$F$23:$H$38,3,FALSE),"")</f>
        <v/>
      </c>
    </row>
    <row r="4" spans="2:42" ht="19.5" customHeight="1">
      <c r="B4" s="35"/>
      <c r="C4" s="36"/>
      <c r="D4" s="37"/>
      <c r="F4" s="32">
        <f>SUM(JUN!$D$23:$D$38)</f>
        <v>0</v>
      </c>
      <c r="G4" s="30"/>
      <c r="H4" s="25"/>
      <c r="J4" s="32">
        <f>SUM(JUN!$H$23:$H$38)</f>
        <v>0</v>
      </c>
      <c r="K4" s="30"/>
      <c r="L4" s="25"/>
      <c r="N4" s="32">
        <f>SUM(JUN!$M$23:$M$38)</f>
        <v>0</v>
      </c>
      <c r="O4" s="30"/>
      <c r="P4" s="25"/>
      <c r="R4" s="32">
        <f>SUM(JUN!$R$23:$R$38)</f>
        <v>0</v>
      </c>
      <c r="S4" s="30"/>
      <c r="T4" s="25"/>
      <c r="V4" s="32">
        <f>SUM(JUN!$W$23:$W$38)</f>
        <v>0</v>
      </c>
      <c r="W4" s="30"/>
      <c r="X4" s="25"/>
      <c r="AM4" s="12" t="str">
        <f t="shared" si="0"/>
        <v/>
      </c>
      <c r="AN4" s="12">
        <f t="shared" si="1"/>
        <v>0</v>
      </c>
      <c r="AO4" s="12" t="s">
        <v>158</v>
      </c>
      <c r="AP4" s="12" t="str">
        <f>IFERROR(VLOOKUP(AN4,JUN!$F$23:$H$38,3,FALSE),"")</f>
        <v/>
      </c>
    </row>
    <row r="5" spans="2:42" ht="21.75" customHeight="1">
      <c r="B5" s="38" t="s">
        <v>166</v>
      </c>
      <c r="C5" s="39"/>
      <c r="D5" s="40"/>
      <c r="F5" s="26"/>
      <c r="G5" s="31"/>
      <c r="H5" s="27"/>
      <c r="J5" s="26"/>
      <c r="K5" s="31"/>
      <c r="L5" s="27"/>
      <c r="N5" s="26"/>
      <c r="O5" s="31"/>
      <c r="P5" s="27"/>
      <c r="R5" s="26"/>
      <c r="S5" s="31"/>
      <c r="T5" s="27"/>
      <c r="V5" s="26"/>
      <c r="W5" s="31"/>
      <c r="X5" s="27"/>
      <c r="AM5" s="12" t="str">
        <f t="shared" si="0"/>
        <v/>
      </c>
      <c r="AN5" s="12">
        <f t="shared" si="1"/>
        <v>0</v>
      </c>
      <c r="AO5" s="12" t="s">
        <v>158</v>
      </c>
      <c r="AP5" s="12" t="str">
        <f>IFERROR(VLOOKUP(AN5,JUN!$F$23:$H$38,3,FALSE),"")</f>
        <v/>
      </c>
    </row>
    <row r="6" spans="2:42" ht="14.25" customHeight="1">
      <c r="AM6" s="12" t="str">
        <f t="shared" si="0"/>
        <v/>
      </c>
      <c r="AN6" s="12">
        <f t="shared" si="1"/>
        <v>0</v>
      </c>
      <c r="AO6" s="12" t="s">
        <v>158</v>
      </c>
      <c r="AP6" s="12" t="str">
        <f>IFERROR(VLOOKUP(AN6,JUN!$F$23:$H$38,3,FALSE),"")</f>
        <v/>
      </c>
    </row>
    <row r="7" spans="2:42" ht="13.5" customHeight="1">
      <c r="B7" s="41" t="s">
        <v>167</v>
      </c>
      <c r="C7" s="42"/>
      <c r="D7" s="43"/>
      <c r="V7" s="13" t="s">
        <v>168</v>
      </c>
      <c r="W7" s="13" t="s">
        <v>163</v>
      </c>
      <c r="X7" s="13" t="s">
        <v>169</v>
      </c>
      <c r="AM7" s="12" t="str">
        <f t="shared" si="0"/>
        <v/>
      </c>
      <c r="AN7" s="12">
        <f t="shared" si="1"/>
        <v>0</v>
      </c>
      <c r="AO7" s="12" t="s">
        <v>158</v>
      </c>
      <c r="AP7" s="12" t="str">
        <f>IFERROR(VLOOKUP(AN7,JUN!$F$23:$H$38,3,FALSE),"")</f>
        <v/>
      </c>
    </row>
    <row r="8" spans="2:42" ht="13.5" customHeight="1">
      <c r="B8" s="44"/>
      <c r="C8" s="45"/>
      <c r="D8" s="46"/>
      <c r="V8" s="12">
        <v>1</v>
      </c>
      <c r="W8" s="12" t="str">
        <f t="shared" ref="W8:W18" si="2">IFERROR(VLOOKUP(V8,$AM$3:$AP$65,2,FALSE),"")</f>
        <v/>
      </c>
      <c r="X8" s="12" t="str">
        <f t="shared" ref="X8:X18" si="3">IFERROR(VLOOKUP(V8,$AM$3:$AP$65,4,FALSE),"")</f>
        <v/>
      </c>
      <c r="AM8" s="12" t="str">
        <f t="shared" si="0"/>
        <v/>
      </c>
      <c r="AN8" s="12">
        <f t="shared" si="1"/>
        <v>0</v>
      </c>
      <c r="AO8" s="12" t="s">
        <v>158</v>
      </c>
      <c r="AP8" s="12" t="str">
        <f>IFERROR(VLOOKUP(AN8,JUN!$F$23:$H$38,3,FALSE),"")</f>
        <v/>
      </c>
    </row>
    <row r="9" spans="2:42" ht="13.5" customHeight="1">
      <c r="B9" s="47"/>
      <c r="C9" s="31"/>
      <c r="D9" s="48"/>
      <c r="V9" s="12">
        <v>2</v>
      </c>
      <c r="W9" s="12" t="str">
        <f t="shared" si="2"/>
        <v/>
      </c>
      <c r="X9" s="12" t="str">
        <f t="shared" si="3"/>
        <v/>
      </c>
      <c r="AM9" s="12" t="str">
        <f t="shared" si="0"/>
        <v/>
      </c>
      <c r="AN9" s="12">
        <f t="shared" si="1"/>
        <v>0</v>
      </c>
      <c r="AO9" s="12" t="s">
        <v>158</v>
      </c>
      <c r="AP9" s="12" t="str">
        <f>IFERROR(VLOOKUP(AN9,JUN!$F$23:$H$38,3,FALSE),"")</f>
        <v/>
      </c>
    </row>
    <row r="10" spans="2:42" ht="13.5" customHeight="1">
      <c r="B10" s="14"/>
      <c r="C10" s="14" t="s">
        <v>170</v>
      </c>
      <c r="D10" s="14" t="s">
        <v>171</v>
      </c>
      <c r="V10" s="12">
        <v>3</v>
      </c>
      <c r="W10" s="12" t="str">
        <f t="shared" si="2"/>
        <v/>
      </c>
      <c r="X10" s="12" t="str">
        <f t="shared" si="3"/>
        <v/>
      </c>
      <c r="AM10" s="12" t="str">
        <f t="shared" si="0"/>
        <v/>
      </c>
      <c r="AN10" s="12">
        <f t="shared" si="1"/>
        <v>0</v>
      </c>
      <c r="AO10" s="12" t="s">
        <v>158</v>
      </c>
      <c r="AP10" s="12" t="str">
        <f>IFERROR(VLOOKUP(AN10,JUN!$F$23:$H$38,3,FALSE),"")</f>
        <v/>
      </c>
    </row>
    <row r="11" spans="2:42" ht="13.5" customHeight="1">
      <c r="B11" s="15" t="s">
        <v>157</v>
      </c>
      <c r="C11" s="16">
        <f>SUM(JUN!$C$23:$C$38)</f>
        <v>0</v>
      </c>
      <c r="D11" s="17">
        <f>SUM(JUN!$D$23:$D$38)</f>
        <v>0</v>
      </c>
      <c r="V11" s="12">
        <v>4</v>
      </c>
      <c r="W11" s="12" t="str">
        <f t="shared" si="2"/>
        <v/>
      </c>
      <c r="X11" s="12" t="str">
        <f t="shared" si="3"/>
        <v/>
      </c>
      <c r="AM11" s="12" t="str">
        <f t="shared" si="0"/>
        <v/>
      </c>
      <c r="AN11" s="12">
        <f t="shared" si="1"/>
        <v>0</v>
      </c>
      <c r="AO11" s="12" t="s">
        <v>158</v>
      </c>
      <c r="AP11" s="12" t="str">
        <f>IFERROR(VLOOKUP(AN11,JUN!$F$23:$H$38,3,FALSE),"")</f>
        <v/>
      </c>
    </row>
    <row r="12" spans="2:42" ht="13.5" customHeight="1">
      <c r="B12" s="15" t="s">
        <v>158</v>
      </c>
      <c r="C12" s="16">
        <f>SUM(JUN!$G$23:$G$38)</f>
        <v>0</v>
      </c>
      <c r="D12" s="17">
        <f>SUM(JUN!$H$23:$H$38)</f>
        <v>0</v>
      </c>
      <c r="V12" s="12">
        <v>5</v>
      </c>
      <c r="W12" s="12" t="str">
        <f t="shared" si="2"/>
        <v/>
      </c>
      <c r="X12" s="12" t="str">
        <f t="shared" si="3"/>
        <v/>
      </c>
      <c r="AM12" s="12" t="str">
        <f t="shared" si="0"/>
        <v/>
      </c>
      <c r="AN12" s="12">
        <f t="shared" si="1"/>
        <v>0</v>
      </c>
      <c r="AO12" s="12" t="s">
        <v>158</v>
      </c>
      <c r="AP12" s="12" t="str">
        <f>IFERROR(VLOOKUP(AN12,JUN!$F$23:$H$38,3,FALSE),"")</f>
        <v/>
      </c>
    </row>
    <row r="13" spans="2:42" ht="13.5" customHeight="1">
      <c r="B13" s="15" t="s">
        <v>159</v>
      </c>
      <c r="C13" s="16">
        <f>SUM(JUN!$L$23:$L$38)</f>
        <v>0</v>
      </c>
      <c r="D13" s="17">
        <f>SUM(JUN!$M$23:$M$38)</f>
        <v>0</v>
      </c>
      <c r="V13" s="12">
        <v>6</v>
      </c>
      <c r="W13" s="12" t="str">
        <f t="shared" si="2"/>
        <v/>
      </c>
      <c r="X13" s="12" t="str">
        <f t="shared" si="3"/>
        <v/>
      </c>
      <c r="AM13" s="12" t="str">
        <f t="shared" si="0"/>
        <v/>
      </c>
      <c r="AN13" s="12">
        <f t="shared" si="1"/>
        <v>0</v>
      </c>
      <c r="AO13" s="12" t="s">
        <v>158</v>
      </c>
      <c r="AP13" s="12" t="str">
        <f>IFERROR(VLOOKUP(AN13,JUN!$F$23:$H$38,3,FALSE),"")</f>
        <v/>
      </c>
    </row>
    <row r="14" spans="2:42" ht="13.5" customHeight="1">
      <c r="B14" s="15" t="s">
        <v>160</v>
      </c>
      <c r="C14" s="16">
        <f>SUM(JUN!$Q$23:$Q$38)</f>
        <v>0</v>
      </c>
      <c r="D14" s="17">
        <f>SUM(JUN!$R$23:$R$38)</f>
        <v>0</v>
      </c>
      <c r="V14" s="12">
        <v>7</v>
      </c>
      <c r="W14" s="12" t="str">
        <f t="shared" si="2"/>
        <v/>
      </c>
      <c r="X14" s="12" t="str">
        <f t="shared" si="3"/>
        <v/>
      </c>
      <c r="AM14" s="12" t="str">
        <f t="shared" si="0"/>
        <v/>
      </c>
      <c r="AN14" s="12">
        <f t="shared" si="1"/>
        <v>0</v>
      </c>
      <c r="AO14" s="12" t="s">
        <v>158</v>
      </c>
      <c r="AP14" s="12" t="str">
        <f>IFERROR(VLOOKUP(AN14,JUN!$F$23:$H$38,3,FALSE),"")</f>
        <v/>
      </c>
    </row>
    <row r="15" spans="2:42" ht="13.5" customHeight="1">
      <c r="B15" s="18" t="s">
        <v>161</v>
      </c>
      <c r="C15" s="19">
        <f>SUM(JUN!$V$23:$V$38)</f>
        <v>0</v>
      </c>
      <c r="D15" s="20">
        <f>SUM(JUN!$W$23:$W$38)</f>
        <v>0</v>
      </c>
      <c r="V15" s="12">
        <v>8</v>
      </c>
      <c r="W15" s="12" t="str">
        <f t="shared" si="2"/>
        <v/>
      </c>
      <c r="X15" s="12" t="str">
        <f t="shared" si="3"/>
        <v/>
      </c>
      <c r="AM15" s="12" t="str">
        <f t="shared" si="0"/>
        <v/>
      </c>
      <c r="AN15" s="12">
        <f t="shared" si="1"/>
        <v>0</v>
      </c>
      <c r="AO15" s="12" t="s">
        <v>158</v>
      </c>
      <c r="AP15" s="12" t="str">
        <f>IFERROR(VLOOKUP(AN15,JUN!$F$23:$H$38,3,FALSE),"")</f>
        <v/>
      </c>
    </row>
    <row r="16" spans="2:42" ht="13.5" customHeight="1">
      <c r="B16" s="21" t="s">
        <v>172</v>
      </c>
      <c r="C16" s="22">
        <f t="shared" ref="C16:D16" si="4">(C11-SUM(C12:C15))</f>
        <v>0</v>
      </c>
      <c r="D16" s="22">
        <f t="shared" si="4"/>
        <v>0</v>
      </c>
      <c r="V16" s="12">
        <v>9</v>
      </c>
      <c r="W16" s="12" t="str">
        <f t="shared" si="2"/>
        <v/>
      </c>
      <c r="X16" s="12" t="str">
        <f t="shared" si="3"/>
        <v/>
      </c>
      <c r="AM16" s="12" t="str">
        <f t="shared" si="0"/>
        <v/>
      </c>
      <c r="AN16" s="12">
        <f t="shared" si="1"/>
        <v>0</v>
      </c>
      <c r="AO16" s="12" t="s">
        <v>158</v>
      </c>
      <c r="AP16" s="12" t="str">
        <f>IFERROR(VLOOKUP(AN16,JUN!$F$23:$H$38,3,FALSE),"")</f>
        <v/>
      </c>
    </row>
    <row r="17" spans="2:42" ht="13.5" customHeight="1">
      <c r="C17" s="16"/>
      <c r="D17" s="16"/>
      <c r="V17" s="12">
        <v>10</v>
      </c>
      <c r="W17" s="12" t="str">
        <f t="shared" si="2"/>
        <v/>
      </c>
      <c r="X17" s="12" t="str">
        <f t="shared" si="3"/>
        <v/>
      </c>
      <c r="AM17" s="12" t="str">
        <f t="shared" si="0"/>
        <v/>
      </c>
      <c r="AN17" s="12">
        <f t="shared" si="1"/>
        <v>0</v>
      </c>
      <c r="AO17" s="12" t="s">
        <v>158</v>
      </c>
      <c r="AP17" s="12" t="str">
        <f>IFERROR(VLOOKUP(AN17,JUN!$F$23:$H$38,3,FALSE),"")</f>
        <v/>
      </c>
    </row>
    <row r="18" spans="2:42" ht="13.5" customHeight="1">
      <c r="V18" s="12">
        <v>11</v>
      </c>
      <c r="W18" s="12" t="str">
        <f t="shared" si="2"/>
        <v/>
      </c>
      <c r="X18" s="12" t="str">
        <f t="shared" si="3"/>
        <v/>
      </c>
      <c r="AM18" s="12" t="str">
        <f t="shared" si="0"/>
        <v/>
      </c>
      <c r="AN18" s="12">
        <f t="shared" si="1"/>
        <v>0</v>
      </c>
      <c r="AO18" s="12" t="s">
        <v>158</v>
      </c>
      <c r="AP18" s="12" t="str">
        <f>IFERROR(VLOOKUP(AN18,JUN!$F$23:$H$38,3,FALSE),"")</f>
        <v/>
      </c>
    </row>
    <row r="19" spans="2:42" ht="14.25" customHeight="1">
      <c r="AM19" s="12" t="str">
        <f t="shared" si="0"/>
        <v/>
      </c>
      <c r="AN19" s="12">
        <f t="shared" ref="AN19:AN34" si="5">K23</f>
        <v>0</v>
      </c>
      <c r="AO19" s="12" t="s">
        <v>159</v>
      </c>
      <c r="AP19" s="12" t="str">
        <f>IFERROR(VLOOKUP(AN19,JUN!$K$23:$M$38,3,FALSE),"")</f>
        <v/>
      </c>
    </row>
    <row r="20" spans="2:42" ht="14.25" customHeight="1">
      <c r="B20" s="29" t="s">
        <v>157</v>
      </c>
      <c r="C20" s="30"/>
      <c r="D20" s="25"/>
      <c r="F20" s="29" t="s">
        <v>158</v>
      </c>
      <c r="G20" s="30"/>
      <c r="H20" s="30"/>
      <c r="I20" s="25"/>
      <c r="K20" s="29" t="s">
        <v>159</v>
      </c>
      <c r="L20" s="30"/>
      <c r="M20" s="30"/>
      <c r="N20" s="25"/>
      <c r="P20" s="49" t="s">
        <v>160</v>
      </c>
      <c r="Q20" s="30"/>
      <c r="R20" s="30"/>
      <c r="S20" s="25"/>
      <c r="U20" s="34" t="s">
        <v>161</v>
      </c>
      <c r="V20" s="30"/>
      <c r="W20" s="30"/>
      <c r="X20" s="25"/>
      <c r="AM20" s="12" t="str">
        <f t="shared" si="0"/>
        <v/>
      </c>
      <c r="AN20" s="12">
        <f t="shared" si="5"/>
        <v>0</v>
      </c>
      <c r="AO20" s="12" t="s">
        <v>159</v>
      </c>
      <c r="AP20" s="12" t="str">
        <f>IFERROR(VLOOKUP(AN20,JUN!$K$23:$M$38,3,FALSE),"")</f>
        <v/>
      </c>
    </row>
    <row r="21" spans="2:42" ht="14.25" customHeight="1">
      <c r="B21" s="35"/>
      <c r="C21" s="36"/>
      <c r="D21" s="37"/>
      <c r="F21" s="35"/>
      <c r="G21" s="36"/>
      <c r="H21" s="36"/>
      <c r="I21" s="37"/>
      <c r="K21" s="35"/>
      <c r="L21" s="36"/>
      <c r="M21" s="36"/>
      <c r="N21" s="37"/>
      <c r="P21" s="35"/>
      <c r="Q21" s="36"/>
      <c r="R21" s="36"/>
      <c r="S21" s="37"/>
      <c r="U21" s="35"/>
      <c r="V21" s="36"/>
      <c r="W21" s="36"/>
      <c r="X21" s="37"/>
      <c r="AM21" s="12" t="str">
        <f t="shared" si="0"/>
        <v/>
      </c>
      <c r="AN21" s="12">
        <f t="shared" si="5"/>
        <v>0</v>
      </c>
      <c r="AO21" s="12" t="s">
        <v>159</v>
      </c>
      <c r="AP21" s="12" t="str">
        <f>IFERROR(VLOOKUP(AN21,JUN!$K$23:$M$38,3,FALSE),"")</f>
        <v/>
      </c>
    </row>
    <row r="22" spans="2:42" ht="14.25" customHeight="1">
      <c r="B22" s="15" t="s">
        <v>173</v>
      </c>
      <c r="C22" s="10" t="s">
        <v>170</v>
      </c>
      <c r="D22" s="23" t="s">
        <v>171</v>
      </c>
      <c r="F22" s="15" t="s">
        <v>173</v>
      </c>
      <c r="G22" s="10" t="s">
        <v>170</v>
      </c>
      <c r="H22" s="10" t="s">
        <v>171</v>
      </c>
      <c r="I22" s="23" t="s">
        <v>174</v>
      </c>
      <c r="K22" s="15" t="s">
        <v>173</v>
      </c>
      <c r="L22" s="10" t="s">
        <v>170</v>
      </c>
      <c r="M22" s="10" t="s">
        <v>171</v>
      </c>
      <c r="N22" s="23" t="s">
        <v>174</v>
      </c>
      <c r="P22" s="15" t="s">
        <v>173</v>
      </c>
      <c r="Q22" s="10" t="s">
        <v>170</v>
      </c>
      <c r="R22" s="10" t="s">
        <v>171</v>
      </c>
      <c r="S22" s="23" t="s">
        <v>174</v>
      </c>
      <c r="U22" s="15" t="s">
        <v>173</v>
      </c>
      <c r="V22" s="10" t="s">
        <v>170</v>
      </c>
      <c r="W22" s="10" t="s">
        <v>171</v>
      </c>
      <c r="X22" s="23" t="s">
        <v>174</v>
      </c>
      <c r="AM22" s="12" t="str">
        <f t="shared" si="0"/>
        <v/>
      </c>
      <c r="AN22" s="12">
        <f t="shared" si="5"/>
        <v>0</v>
      </c>
      <c r="AO22" s="12" t="s">
        <v>159</v>
      </c>
      <c r="AP22" s="12" t="str">
        <f>IFERROR(VLOOKUP(AN22,JUN!$K$23:$M$38,3,FALSE),"")</f>
        <v/>
      </c>
    </row>
    <row r="23" spans="2:42" ht="14.25" customHeight="1">
      <c r="B23" s="15"/>
      <c r="C23" s="16"/>
      <c r="D23" s="17"/>
      <c r="F23" s="15"/>
      <c r="G23" s="16"/>
      <c r="H23" s="16"/>
      <c r="I23" s="17">
        <f>JUN!$G23-JUN!$H23</f>
        <v>0</v>
      </c>
      <c r="K23" s="15"/>
      <c r="L23" s="16"/>
      <c r="M23" s="16"/>
      <c r="N23" s="17">
        <f>JUN!$L23-JUN!$M23</f>
        <v>0</v>
      </c>
      <c r="P23" s="15"/>
      <c r="Q23" s="16"/>
      <c r="R23" s="16"/>
      <c r="S23" s="17">
        <f>JUN!$Q23-JUN!$R23</f>
        <v>0</v>
      </c>
      <c r="U23" s="15"/>
      <c r="V23" s="16"/>
      <c r="W23" s="16"/>
      <c r="X23" s="17">
        <f>JUN!$V23-JUN!$W23</f>
        <v>0</v>
      </c>
      <c r="AM23" s="12" t="str">
        <f t="shared" si="0"/>
        <v/>
      </c>
      <c r="AN23" s="12">
        <f t="shared" si="5"/>
        <v>0</v>
      </c>
      <c r="AO23" s="12" t="s">
        <v>159</v>
      </c>
      <c r="AP23" s="12" t="str">
        <f>IFERROR(VLOOKUP(AN23,JUN!$K$23:$M$38,3,FALSE),"")</f>
        <v/>
      </c>
    </row>
    <row r="24" spans="2:42" ht="14.25" customHeight="1">
      <c r="B24" s="15"/>
      <c r="C24" s="16"/>
      <c r="D24" s="17"/>
      <c r="F24" s="15"/>
      <c r="G24" s="16"/>
      <c r="H24" s="16"/>
      <c r="I24" s="17">
        <f>JUN!$G24-JUN!$H24</f>
        <v>0</v>
      </c>
      <c r="K24" s="15"/>
      <c r="L24" s="16"/>
      <c r="M24" s="16"/>
      <c r="N24" s="17">
        <f>JUN!$L24-JUN!$M24</f>
        <v>0</v>
      </c>
      <c r="P24" s="15"/>
      <c r="Q24" s="16"/>
      <c r="R24" s="16"/>
      <c r="S24" s="17">
        <f>JUN!$Q24-JUN!$R24</f>
        <v>0</v>
      </c>
      <c r="U24" s="15"/>
      <c r="V24" s="16"/>
      <c r="W24" s="16"/>
      <c r="X24" s="17">
        <f>JUN!$V24-JUN!$W24</f>
        <v>0</v>
      </c>
      <c r="AM24" s="12" t="str">
        <f t="shared" si="0"/>
        <v/>
      </c>
      <c r="AN24" s="12">
        <f t="shared" si="5"/>
        <v>0</v>
      </c>
      <c r="AO24" s="12" t="s">
        <v>159</v>
      </c>
      <c r="AP24" s="12" t="str">
        <f>IFERROR(VLOOKUP(AN24,JUN!$K$23:$M$38,3,FALSE),"")</f>
        <v/>
      </c>
    </row>
    <row r="25" spans="2:42" ht="14.25" customHeight="1">
      <c r="B25" s="15"/>
      <c r="C25" s="16"/>
      <c r="D25" s="17"/>
      <c r="F25" s="15"/>
      <c r="G25" s="16"/>
      <c r="H25" s="16"/>
      <c r="I25" s="17">
        <f>JUN!$G25-JUN!$H25</f>
        <v>0</v>
      </c>
      <c r="K25" s="15"/>
      <c r="L25" s="16"/>
      <c r="M25" s="16"/>
      <c r="N25" s="17">
        <f>JUN!$L25-JUN!$M25</f>
        <v>0</v>
      </c>
      <c r="P25" s="15"/>
      <c r="Q25" s="16"/>
      <c r="R25" s="16"/>
      <c r="S25" s="17">
        <f>JUN!$Q25-JUN!$R25</f>
        <v>0</v>
      </c>
      <c r="U25" s="15"/>
      <c r="V25" s="16"/>
      <c r="W25" s="16"/>
      <c r="X25" s="17">
        <f>JUN!$V25-JUN!$W25</f>
        <v>0</v>
      </c>
      <c r="AM25" s="12" t="str">
        <f t="shared" si="0"/>
        <v/>
      </c>
      <c r="AN25" s="12">
        <f t="shared" si="5"/>
        <v>0</v>
      </c>
      <c r="AO25" s="12" t="s">
        <v>159</v>
      </c>
      <c r="AP25" s="12" t="str">
        <f>IFERROR(VLOOKUP(AN25,JUN!$K$23:$M$38,3,FALSE),"")</f>
        <v/>
      </c>
    </row>
    <row r="26" spans="2:42" ht="14.25" customHeight="1">
      <c r="B26" s="15"/>
      <c r="C26" s="16"/>
      <c r="D26" s="17"/>
      <c r="F26" s="15"/>
      <c r="G26" s="16"/>
      <c r="H26" s="16"/>
      <c r="I26" s="17">
        <f>JUN!$G26-JUN!$H26</f>
        <v>0</v>
      </c>
      <c r="K26" s="15"/>
      <c r="L26" s="16"/>
      <c r="M26" s="16"/>
      <c r="N26" s="17">
        <f>JUN!$L26-JUN!$M26</f>
        <v>0</v>
      </c>
      <c r="P26" s="15"/>
      <c r="Q26" s="16"/>
      <c r="R26" s="16"/>
      <c r="S26" s="17">
        <f>JUN!$Q26-JUN!$R26</f>
        <v>0</v>
      </c>
      <c r="U26" s="15"/>
      <c r="V26" s="16"/>
      <c r="W26" s="16"/>
      <c r="X26" s="17">
        <f>JUN!$V26-JUN!$W26</f>
        <v>0</v>
      </c>
      <c r="AM26" s="12" t="str">
        <f t="shared" si="0"/>
        <v/>
      </c>
      <c r="AN26" s="12">
        <f t="shared" si="5"/>
        <v>0</v>
      </c>
      <c r="AO26" s="12" t="s">
        <v>159</v>
      </c>
      <c r="AP26" s="12" t="str">
        <f>IFERROR(VLOOKUP(AN26,JUN!$K$23:$M$38,3,FALSE),"")</f>
        <v/>
      </c>
    </row>
    <row r="27" spans="2:42" ht="14.25" customHeight="1">
      <c r="B27" s="15"/>
      <c r="C27" s="16"/>
      <c r="D27" s="17"/>
      <c r="F27" s="15"/>
      <c r="G27" s="16"/>
      <c r="H27" s="16"/>
      <c r="I27" s="17">
        <f>JUN!$G27-JUN!$H27</f>
        <v>0</v>
      </c>
      <c r="K27" s="15"/>
      <c r="L27" s="16"/>
      <c r="M27" s="16"/>
      <c r="N27" s="17">
        <f>JUN!$L27-JUN!$M27</f>
        <v>0</v>
      </c>
      <c r="P27" s="15"/>
      <c r="Q27" s="16"/>
      <c r="R27" s="16"/>
      <c r="S27" s="17">
        <f>JUN!$Q27-JUN!$R27</f>
        <v>0</v>
      </c>
      <c r="U27" s="15"/>
      <c r="V27" s="16"/>
      <c r="W27" s="16"/>
      <c r="X27" s="17">
        <f>JUN!$V27-JUN!$W27</f>
        <v>0</v>
      </c>
      <c r="AM27" s="12" t="str">
        <f t="shared" si="0"/>
        <v/>
      </c>
      <c r="AN27" s="12">
        <f t="shared" si="5"/>
        <v>0</v>
      </c>
      <c r="AO27" s="12" t="s">
        <v>159</v>
      </c>
      <c r="AP27" s="12" t="str">
        <f>IFERROR(VLOOKUP(AN27,JUN!$K$23:$M$38,3,FALSE),"")</f>
        <v/>
      </c>
    </row>
    <row r="28" spans="2:42" ht="14.25" customHeight="1">
      <c r="B28" s="15"/>
      <c r="C28" s="16"/>
      <c r="D28" s="17"/>
      <c r="F28" s="15"/>
      <c r="G28" s="16"/>
      <c r="H28" s="16"/>
      <c r="I28" s="17">
        <f>JUN!$G28-JUN!$H28</f>
        <v>0</v>
      </c>
      <c r="K28" s="15"/>
      <c r="L28" s="16"/>
      <c r="M28" s="16"/>
      <c r="N28" s="17">
        <f>JUN!$L28-JUN!$M28</f>
        <v>0</v>
      </c>
      <c r="P28" s="15"/>
      <c r="Q28" s="16"/>
      <c r="R28" s="16"/>
      <c r="S28" s="17">
        <f>JUN!$Q28-JUN!$R28</f>
        <v>0</v>
      </c>
      <c r="U28" s="15"/>
      <c r="V28" s="16"/>
      <c r="W28" s="16"/>
      <c r="X28" s="17">
        <f>JUN!$V28-JUN!$W28</f>
        <v>0</v>
      </c>
      <c r="AM28" s="12" t="str">
        <f t="shared" si="0"/>
        <v/>
      </c>
      <c r="AN28" s="12">
        <f t="shared" si="5"/>
        <v>0</v>
      </c>
      <c r="AO28" s="12" t="s">
        <v>159</v>
      </c>
      <c r="AP28" s="12" t="str">
        <f>IFERROR(VLOOKUP(AN28,JUN!$K$23:$M$38,3,FALSE),"")</f>
        <v/>
      </c>
    </row>
    <row r="29" spans="2:42" ht="14.25" customHeight="1">
      <c r="B29" s="15"/>
      <c r="C29" s="16"/>
      <c r="D29" s="17"/>
      <c r="F29" s="15"/>
      <c r="G29" s="16"/>
      <c r="H29" s="16"/>
      <c r="I29" s="17">
        <f>JUN!$G29-JUN!$H29</f>
        <v>0</v>
      </c>
      <c r="K29" s="15"/>
      <c r="L29" s="16"/>
      <c r="M29" s="16"/>
      <c r="N29" s="17">
        <f>JUN!$L29-JUN!$M29</f>
        <v>0</v>
      </c>
      <c r="P29" s="15"/>
      <c r="Q29" s="16"/>
      <c r="R29" s="16"/>
      <c r="S29" s="17">
        <f>JUN!$Q29-JUN!$R29</f>
        <v>0</v>
      </c>
      <c r="U29" s="15"/>
      <c r="V29" s="16"/>
      <c r="W29" s="16"/>
      <c r="X29" s="17">
        <f>JUN!$V29-JUN!$W29</f>
        <v>0</v>
      </c>
      <c r="AM29" s="12" t="str">
        <f t="shared" si="0"/>
        <v/>
      </c>
      <c r="AN29" s="12">
        <f t="shared" si="5"/>
        <v>0</v>
      </c>
      <c r="AO29" s="12" t="s">
        <v>159</v>
      </c>
      <c r="AP29" s="12" t="str">
        <f>IFERROR(VLOOKUP(AN29,JUN!$K$23:$M$38,3,FALSE),"")</f>
        <v/>
      </c>
    </row>
    <row r="30" spans="2:42" ht="14.25" customHeight="1">
      <c r="B30" s="15"/>
      <c r="C30" s="16"/>
      <c r="D30" s="17"/>
      <c r="F30" s="15"/>
      <c r="G30" s="16"/>
      <c r="H30" s="16"/>
      <c r="I30" s="17">
        <f>JUN!$G30-JUN!$H30</f>
        <v>0</v>
      </c>
      <c r="K30" s="15"/>
      <c r="L30" s="16"/>
      <c r="M30" s="16"/>
      <c r="N30" s="17">
        <f>JUN!$L30-JUN!$M30</f>
        <v>0</v>
      </c>
      <c r="P30" s="15"/>
      <c r="Q30" s="16"/>
      <c r="R30" s="16"/>
      <c r="S30" s="17">
        <f>JUN!$Q30-JUN!$R30</f>
        <v>0</v>
      </c>
      <c r="U30" s="15"/>
      <c r="V30" s="16"/>
      <c r="W30" s="16"/>
      <c r="X30" s="17">
        <f>JUN!$V30-JUN!$W30</f>
        <v>0</v>
      </c>
      <c r="AM30" s="12" t="str">
        <f t="shared" si="0"/>
        <v/>
      </c>
      <c r="AN30" s="12">
        <f t="shared" si="5"/>
        <v>0</v>
      </c>
      <c r="AO30" s="12" t="s">
        <v>159</v>
      </c>
      <c r="AP30" s="12" t="str">
        <f>IFERROR(VLOOKUP(AN30,JUN!$K$23:$M$38,3,FALSE),"")</f>
        <v/>
      </c>
    </row>
    <row r="31" spans="2:42" ht="14.25" customHeight="1">
      <c r="B31" s="15"/>
      <c r="C31" s="16"/>
      <c r="D31" s="17"/>
      <c r="F31" s="15"/>
      <c r="G31" s="16"/>
      <c r="H31" s="16"/>
      <c r="I31" s="17">
        <f>JUN!$G31-JUN!$H31</f>
        <v>0</v>
      </c>
      <c r="K31" s="15"/>
      <c r="L31" s="16"/>
      <c r="M31" s="16"/>
      <c r="N31" s="17">
        <f>JUN!$L31-JUN!$M31</f>
        <v>0</v>
      </c>
      <c r="P31" s="15"/>
      <c r="Q31" s="16"/>
      <c r="R31" s="16"/>
      <c r="S31" s="17">
        <f>JUN!$Q31-JUN!$R31</f>
        <v>0</v>
      </c>
      <c r="U31" s="15"/>
      <c r="V31" s="16"/>
      <c r="W31" s="16"/>
      <c r="X31" s="17">
        <f>JUN!$V31-JUN!$W31</f>
        <v>0</v>
      </c>
      <c r="AM31" s="12" t="str">
        <f t="shared" si="0"/>
        <v/>
      </c>
      <c r="AN31" s="12">
        <f t="shared" si="5"/>
        <v>0</v>
      </c>
      <c r="AO31" s="12" t="s">
        <v>159</v>
      </c>
      <c r="AP31" s="12" t="str">
        <f>IFERROR(VLOOKUP(AN31,JUN!$K$23:$M$38,3,FALSE),"")</f>
        <v/>
      </c>
    </row>
    <row r="32" spans="2:42" ht="14.25" customHeight="1">
      <c r="B32" s="15"/>
      <c r="C32" s="16"/>
      <c r="D32" s="17"/>
      <c r="F32" s="15"/>
      <c r="G32" s="16"/>
      <c r="H32" s="16"/>
      <c r="I32" s="17">
        <f>JUN!$G32-JUN!$H32</f>
        <v>0</v>
      </c>
      <c r="K32" s="15"/>
      <c r="L32" s="16"/>
      <c r="M32" s="16"/>
      <c r="N32" s="17">
        <f>JUN!$L32-JUN!$M32</f>
        <v>0</v>
      </c>
      <c r="P32" s="15"/>
      <c r="Q32" s="16"/>
      <c r="R32" s="16"/>
      <c r="S32" s="17">
        <f>JUN!$Q32-JUN!$R32</f>
        <v>0</v>
      </c>
      <c r="U32" s="15"/>
      <c r="V32" s="16"/>
      <c r="W32" s="16"/>
      <c r="X32" s="17">
        <f>JUN!$V32-JUN!$W32</f>
        <v>0</v>
      </c>
      <c r="AM32" s="12" t="str">
        <f t="shared" si="0"/>
        <v/>
      </c>
      <c r="AN32" s="12">
        <f t="shared" si="5"/>
        <v>0</v>
      </c>
      <c r="AO32" s="12" t="s">
        <v>159</v>
      </c>
      <c r="AP32" s="12" t="str">
        <f>IFERROR(VLOOKUP(AN32,JUN!$K$23:$M$38,3,FALSE),"")</f>
        <v/>
      </c>
    </row>
    <row r="33" spans="2:42" ht="14.25" customHeight="1">
      <c r="B33" s="15"/>
      <c r="C33" s="16"/>
      <c r="D33" s="17"/>
      <c r="F33" s="15"/>
      <c r="G33" s="16"/>
      <c r="H33" s="16"/>
      <c r="I33" s="17">
        <f>JUN!$G33-JUN!$H33</f>
        <v>0</v>
      </c>
      <c r="K33" s="15"/>
      <c r="L33" s="16"/>
      <c r="M33" s="16"/>
      <c r="N33" s="17">
        <f>JUN!$L33-JUN!$M33</f>
        <v>0</v>
      </c>
      <c r="P33" s="15"/>
      <c r="Q33" s="16"/>
      <c r="R33" s="16"/>
      <c r="S33" s="17">
        <f>JUN!$Q33-JUN!$R33</f>
        <v>0</v>
      </c>
      <c r="U33" s="15"/>
      <c r="V33" s="16"/>
      <c r="W33" s="16"/>
      <c r="X33" s="17">
        <f>JUN!$V33-JUN!$W33</f>
        <v>0</v>
      </c>
      <c r="AM33" s="12" t="str">
        <f t="shared" si="0"/>
        <v/>
      </c>
      <c r="AN33" s="12">
        <f t="shared" si="5"/>
        <v>0</v>
      </c>
      <c r="AO33" s="12" t="s">
        <v>159</v>
      </c>
      <c r="AP33" s="12" t="str">
        <f>IFERROR(VLOOKUP(AN33,JUN!$K$23:$M$38,3,FALSE),"")</f>
        <v/>
      </c>
    </row>
    <row r="34" spans="2:42" ht="14.25" customHeight="1">
      <c r="B34" s="15"/>
      <c r="C34" s="16"/>
      <c r="D34" s="17"/>
      <c r="F34" s="15"/>
      <c r="G34" s="16"/>
      <c r="H34" s="16"/>
      <c r="I34" s="17">
        <f>JUN!$G34-JUN!$H34</f>
        <v>0</v>
      </c>
      <c r="K34" s="15"/>
      <c r="L34" s="16"/>
      <c r="M34" s="16"/>
      <c r="N34" s="17">
        <f>JUN!$L34-JUN!$M34</f>
        <v>0</v>
      </c>
      <c r="P34" s="15"/>
      <c r="Q34" s="16"/>
      <c r="R34" s="16"/>
      <c r="S34" s="17">
        <f>JUN!$Q34-JUN!$R34</f>
        <v>0</v>
      </c>
      <c r="U34" s="15"/>
      <c r="V34" s="16"/>
      <c r="W34" s="16"/>
      <c r="X34" s="17">
        <f>JUN!$V34-JUN!$W34</f>
        <v>0</v>
      </c>
      <c r="AM34" s="12" t="str">
        <f t="shared" si="0"/>
        <v/>
      </c>
      <c r="AN34" s="12">
        <f t="shared" si="5"/>
        <v>0</v>
      </c>
      <c r="AO34" s="12" t="s">
        <v>175</v>
      </c>
      <c r="AP34" s="12" t="str">
        <f>IFERROR(VLOOKUP(AN34,JUN!$K$23:$M$38,3,FALSE),"")</f>
        <v/>
      </c>
    </row>
    <row r="35" spans="2:42" ht="14.25" customHeight="1">
      <c r="B35" s="15"/>
      <c r="C35" s="16"/>
      <c r="D35" s="17"/>
      <c r="F35" s="15"/>
      <c r="G35" s="16"/>
      <c r="H35" s="16"/>
      <c r="I35" s="17">
        <f>JUN!$G35-JUN!$H35</f>
        <v>0</v>
      </c>
      <c r="K35" s="15"/>
      <c r="L35" s="16"/>
      <c r="M35" s="16"/>
      <c r="N35" s="17">
        <f>JUN!$L35-JUN!$M35</f>
        <v>0</v>
      </c>
      <c r="P35" s="15"/>
      <c r="Q35" s="16"/>
      <c r="R35" s="16"/>
      <c r="S35" s="17">
        <f>JUN!$Q35-JUN!$R35</f>
        <v>0</v>
      </c>
      <c r="U35" s="15"/>
      <c r="V35" s="16"/>
      <c r="W35" s="16"/>
      <c r="X35" s="17">
        <f>JUN!$V35-JUN!$W35</f>
        <v>0</v>
      </c>
      <c r="AM35" s="12" t="str">
        <f t="shared" si="0"/>
        <v/>
      </c>
      <c r="AN35" s="12">
        <f t="shared" ref="AN35:AN49" si="6">P23</f>
        <v>0</v>
      </c>
      <c r="AO35" s="12" t="s">
        <v>175</v>
      </c>
      <c r="AP35" s="12" t="str">
        <f>IFERROR(VLOOKUP(AN35,JUN!$P$23:$R$38,3,FALSE),"")</f>
        <v/>
      </c>
    </row>
    <row r="36" spans="2:42" ht="14.25" customHeight="1">
      <c r="B36" s="15"/>
      <c r="C36" s="16"/>
      <c r="D36" s="17"/>
      <c r="F36" s="15"/>
      <c r="G36" s="16"/>
      <c r="H36" s="16"/>
      <c r="I36" s="17">
        <f>JUN!$G36-JUN!$H36</f>
        <v>0</v>
      </c>
      <c r="K36" s="15"/>
      <c r="L36" s="16"/>
      <c r="M36" s="16"/>
      <c r="N36" s="17">
        <f>JUN!$L36-JUN!$M36</f>
        <v>0</v>
      </c>
      <c r="P36" s="15"/>
      <c r="Q36" s="16"/>
      <c r="R36" s="16"/>
      <c r="S36" s="17">
        <f>JUN!$Q36-JUN!$R36</f>
        <v>0</v>
      </c>
      <c r="U36" s="15"/>
      <c r="V36" s="16"/>
      <c r="W36" s="16"/>
      <c r="X36" s="17">
        <f>JUN!$V36-JUN!$W36</f>
        <v>0</v>
      </c>
      <c r="AM36" s="12" t="str">
        <f t="shared" si="0"/>
        <v/>
      </c>
      <c r="AN36" s="12">
        <f t="shared" si="6"/>
        <v>0</v>
      </c>
      <c r="AO36" s="12" t="s">
        <v>175</v>
      </c>
      <c r="AP36" s="12" t="str">
        <f>IFERROR(VLOOKUP(AN36,JUN!$P$23:$R$38,3,FALSE),"")</f>
        <v/>
      </c>
    </row>
    <row r="37" spans="2:42" ht="14.25" customHeight="1">
      <c r="B37" s="15"/>
      <c r="C37" s="16"/>
      <c r="D37" s="17"/>
      <c r="F37" s="15"/>
      <c r="G37" s="16"/>
      <c r="H37" s="16"/>
      <c r="I37" s="17">
        <f>JUN!$G37-JUN!$H37</f>
        <v>0</v>
      </c>
      <c r="K37" s="15"/>
      <c r="L37" s="16"/>
      <c r="M37" s="16"/>
      <c r="N37" s="17">
        <f>JUN!$L37-JUN!$M37</f>
        <v>0</v>
      </c>
      <c r="P37" s="15"/>
      <c r="Q37" s="16"/>
      <c r="R37" s="16"/>
      <c r="S37" s="17">
        <f>JUN!$Q37-JUN!$R37</f>
        <v>0</v>
      </c>
      <c r="U37" s="15"/>
      <c r="V37" s="16"/>
      <c r="W37" s="16"/>
      <c r="X37" s="17">
        <f>JUN!$V37-JUN!$W37</f>
        <v>0</v>
      </c>
      <c r="AM37" s="12" t="str">
        <f t="shared" si="0"/>
        <v/>
      </c>
      <c r="AN37" s="12">
        <f t="shared" si="6"/>
        <v>0</v>
      </c>
      <c r="AO37" s="12" t="s">
        <v>175</v>
      </c>
      <c r="AP37" s="12" t="str">
        <f>IFERROR(VLOOKUP(AN37,JUN!$P$23:$R$38,3,FALSE),"")</f>
        <v/>
      </c>
    </row>
    <row r="38" spans="2:42" ht="14.25" customHeight="1">
      <c r="B38" s="18"/>
      <c r="C38" s="19"/>
      <c r="D38" s="20"/>
      <c r="F38" s="18"/>
      <c r="G38" s="19"/>
      <c r="H38" s="19"/>
      <c r="I38" s="20">
        <f>JUN!$G38-JUN!$H38</f>
        <v>0</v>
      </c>
      <c r="K38" s="18"/>
      <c r="L38" s="19"/>
      <c r="M38" s="19"/>
      <c r="N38" s="20">
        <f>JUN!$L38-JUN!$M38</f>
        <v>0</v>
      </c>
      <c r="P38" s="18"/>
      <c r="Q38" s="19"/>
      <c r="R38" s="19"/>
      <c r="S38" s="20">
        <f>JUN!$Q38-JUN!$R38</f>
        <v>0</v>
      </c>
      <c r="U38" s="18"/>
      <c r="V38" s="19"/>
      <c r="W38" s="19"/>
      <c r="X38" s="20">
        <f>JUN!$V38-JUN!$W38</f>
        <v>0</v>
      </c>
      <c r="AM38" s="12" t="str">
        <f t="shared" si="0"/>
        <v/>
      </c>
      <c r="AN38" s="12">
        <f t="shared" si="6"/>
        <v>0</v>
      </c>
      <c r="AO38" s="12" t="s">
        <v>175</v>
      </c>
      <c r="AP38" s="12" t="str">
        <f>IFERROR(VLOOKUP(AN38,JUN!$P$23:$R$38,3,FALSE),"")</f>
        <v/>
      </c>
    </row>
    <row r="39" spans="2:42" ht="14.25" customHeight="1">
      <c r="AM39" s="12" t="str">
        <f t="shared" si="0"/>
        <v/>
      </c>
      <c r="AN39" s="12">
        <f t="shared" si="6"/>
        <v>0</v>
      </c>
      <c r="AO39" s="12" t="s">
        <v>175</v>
      </c>
      <c r="AP39" s="12" t="str">
        <f>IFERROR(VLOOKUP(AN39,JUN!$P$23:$R$38,3,FALSE),"")</f>
        <v/>
      </c>
    </row>
    <row r="40" spans="2:42" ht="14.25" customHeight="1">
      <c r="AM40" s="12" t="str">
        <f t="shared" si="0"/>
        <v/>
      </c>
      <c r="AN40" s="12">
        <f t="shared" si="6"/>
        <v>0</v>
      </c>
      <c r="AO40" s="12" t="s">
        <v>175</v>
      </c>
      <c r="AP40" s="12" t="str">
        <f>IFERROR(VLOOKUP(AN40,JUN!$P$23:$R$38,3,FALSE),"")</f>
        <v/>
      </c>
    </row>
    <row r="41" spans="2:42" ht="14.25" customHeight="1">
      <c r="AM41" s="12" t="str">
        <f t="shared" si="0"/>
        <v/>
      </c>
      <c r="AN41" s="12">
        <f t="shared" si="6"/>
        <v>0</v>
      </c>
      <c r="AO41" s="12" t="s">
        <v>175</v>
      </c>
      <c r="AP41" s="12" t="str">
        <f>IFERROR(VLOOKUP(AN41,JUN!$P$23:$R$38,3,FALSE),"")</f>
        <v/>
      </c>
    </row>
    <row r="42" spans="2:42" ht="14.25" customHeight="1">
      <c r="AM42" s="12" t="str">
        <f t="shared" si="0"/>
        <v/>
      </c>
      <c r="AN42" s="12">
        <f t="shared" si="6"/>
        <v>0</v>
      </c>
      <c r="AO42" s="12" t="s">
        <v>175</v>
      </c>
      <c r="AP42" s="12" t="str">
        <f>IFERROR(VLOOKUP(AN42,JUN!$P$23:$R$38,3,FALSE),"")</f>
        <v/>
      </c>
    </row>
    <row r="43" spans="2:42" ht="14.25" customHeight="1">
      <c r="AM43" s="12" t="str">
        <f t="shared" si="0"/>
        <v/>
      </c>
      <c r="AN43" s="12">
        <f t="shared" si="6"/>
        <v>0</v>
      </c>
      <c r="AO43" s="12" t="s">
        <v>175</v>
      </c>
      <c r="AP43" s="12" t="str">
        <f>IFERROR(VLOOKUP(AN43,JUN!$P$23:$R$38,3,FALSE),"")</f>
        <v/>
      </c>
    </row>
    <row r="44" spans="2:42" ht="14.25" customHeight="1">
      <c r="AM44" s="12" t="str">
        <f t="shared" si="0"/>
        <v/>
      </c>
      <c r="AN44" s="12">
        <f t="shared" si="6"/>
        <v>0</v>
      </c>
      <c r="AO44" s="12" t="s">
        <v>175</v>
      </c>
      <c r="AP44" s="12" t="str">
        <f>IFERROR(VLOOKUP(AN44,JUN!$P$23:$R$38,3,FALSE),"")</f>
        <v/>
      </c>
    </row>
    <row r="45" spans="2:42" ht="14.25" customHeight="1">
      <c r="AM45" s="12" t="str">
        <f t="shared" si="0"/>
        <v/>
      </c>
      <c r="AN45" s="12">
        <f t="shared" si="6"/>
        <v>0</v>
      </c>
      <c r="AO45" s="12" t="s">
        <v>175</v>
      </c>
      <c r="AP45" s="12" t="str">
        <f>IFERROR(VLOOKUP(AN45,JUN!$P$23:$R$38,3,FALSE),"")</f>
        <v/>
      </c>
    </row>
    <row r="46" spans="2:42" ht="14.25" customHeight="1">
      <c r="AM46" s="12" t="str">
        <f t="shared" si="0"/>
        <v/>
      </c>
      <c r="AN46" s="12">
        <f t="shared" si="6"/>
        <v>0</v>
      </c>
      <c r="AO46" s="12" t="s">
        <v>175</v>
      </c>
      <c r="AP46" s="12" t="str">
        <f>IFERROR(VLOOKUP(AN46,JUN!$P$23:$R$38,3,FALSE),"")</f>
        <v/>
      </c>
    </row>
    <row r="47" spans="2:42" ht="14.25" customHeight="1">
      <c r="AM47" s="12" t="str">
        <f t="shared" si="0"/>
        <v/>
      </c>
      <c r="AN47" s="12">
        <f t="shared" si="6"/>
        <v>0</v>
      </c>
      <c r="AO47" s="12" t="s">
        <v>175</v>
      </c>
      <c r="AP47" s="12" t="str">
        <f>IFERROR(VLOOKUP(AN47,JUN!$P$23:$R$38,3,FALSE),"")</f>
        <v/>
      </c>
    </row>
    <row r="48" spans="2:42" ht="14.25" customHeight="1">
      <c r="AM48" s="12" t="str">
        <f t="shared" si="0"/>
        <v/>
      </c>
      <c r="AN48" s="12">
        <f t="shared" si="6"/>
        <v>0</v>
      </c>
      <c r="AO48" s="12" t="s">
        <v>175</v>
      </c>
      <c r="AP48" s="12" t="str">
        <f>IFERROR(VLOOKUP(AN48,JUN!$P$23:$R$38,3,FALSE),"")</f>
        <v/>
      </c>
    </row>
    <row r="49" spans="39:42" ht="14.25" customHeight="1">
      <c r="AM49" s="12" t="str">
        <f t="shared" si="0"/>
        <v/>
      </c>
      <c r="AN49" s="12">
        <f t="shared" si="6"/>
        <v>0</v>
      </c>
      <c r="AO49" s="12" t="s">
        <v>161</v>
      </c>
      <c r="AP49" s="12" t="str">
        <f>IFERROR(VLOOKUP(AN49,JUN!$P$23:$R$38,3,FALSE),"")</f>
        <v/>
      </c>
    </row>
    <row r="50" spans="39:42" ht="14.25" customHeight="1">
      <c r="AM50" s="12" t="str">
        <f t="shared" si="0"/>
        <v/>
      </c>
      <c r="AN50" s="12">
        <f t="shared" ref="AN50:AN65" si="7">U23</f>
        <v>0</v>
      </c>
      <c r="AO50" s="12" t="s">
        <v>161</v>
      </c>
      <c r="AP50" s="12" t="str">
        <f>IFERROR(VLOOKUP(AN50,JUN!$U$23:$W$38,3,FALSE),"")</f>
        <v/>
      </c>
    </row>
    <row r="51" spans="39:42" ht="14.25" customHeight="1">
      <c r="AM51" s="12" t="str">
        <f t="shared" si="0"/>
        <v/>
      </c>
      <c r="AN51" s="12">
        <f t="shared" si="7"/>
        <v>0</v>
      </c>
      <c r="AO51" s="12" t="s">
        <v>161</v>
      </c>
      <c r="AP51" s="12" t="str">
        <f>IFERROR(VLOOKUP(AN51,JUN!$U$23:$W$38,3,FALSE),"")</f>
        <v/>
      </c>
    </row>
    <row r="52" spans="39:42" ht="14.25" customHeight="1">
      <c r="AM52" s="12" t="str">
        <f t="shared" si="0"/>
        <v/>
      </c>
      <c r="AN52" s="12">
        <f t="shared" si="7"/>
        <v>0</v>
      </c>
      <c r="AO52" s="12" t="s">
        <v>161</v>
      </c>
      <c r="AP52" s="12" t="str">
        <f>IFERROR(VLOOKUP(AN52,JUN!$U$23:$W$38,3,FALSE),"")</f>
        <v/>
      </c>
    </row>
    <row r="53" spans="39:42" ht="14.25" customHeight="1">
      <c r="AM53" s="12" t="str">
        <f t="shared" si="0"/>
        <v/>
      </c>
      <c r="AN53" s="12">
        <f t="shared" si="7"/>
        <v>0</v>
      </c>
      <c r="AO53" s="12" t="s">
        <v>161</v>
      </c>
      <c r="AP53" s="12" t="str">
        <f>IFERROR(VLOOKUP(AN53,JUN!$U$23:$W$38,3,FALSE),"")</f>
        <v/>
      </c>
    </row>
    <row r="54" spans="39:42" ht="14.25" customHeight="1">
      <c r="AM54" s="12" t="str">
        <f t="shared" si="0"/>
        <v/>
      </c>
      <c r="AN54" s="12">
        <f t="shared" si="7"/>
        <v>0</v>
      </c>
      <c r="AO54" s="12" t="s">
        <v>161</v>
      </c>
      <c r="AP54" s="12" t="str">
        <f>IFERROR(VLOOKUP(AN54,JUN!$U$23:$W$38,3,FALSE),"")</f>
        <v/>
      </c>
    </row>
    <row r="55" spans="39:42" ht="14.25" customHeight="1">
      <c r="AM55" s="12" t="str">
        <f t="shared" si="0"/>
        <v/>
      </c>
      <c r="AN55" s="12">
        <f t="shared" si="7"/>
        <v>0</v>
      </c>
      <c r="AO55" s="12" t="s">
        <v>161</v>
      </c>
      <c r="AP55" s="12" t="str">
        <f>IFERROR(VLOOKUP(AN55,JUN!$U$23:$W$38,3,FALSE),"")</f>
        <v/>
      </c>
    </row>
    <row r="56" spans="39:42" ht="14.25" customHeight="1">
      <c r="AM56" s="12" t="str">
        <f t="shared" si="0"/>
        <v/>
      </c>
      <c r="AN56" s="12">
        <f t="shared" si="7"/>
        <v>0</v>
      </c>
      <c r="AO56" s="12" t="s">
        <v>161</v>
      </c>
      <c r="AP56" s="12" t="str">
        <f>IFERROR(VLOOKUP(AN56,JUN!$U$23:$W$38,3,FALSE),"")</f>
        <v/>
      </c>
    </row>
    <row r="57" spans="39:42" ht="14.25" customHeight="1">
      <c r="AM57" s="12" t="str">
        <f t="shared" si="0"/>
        <v/>
      </c>
      <c r="AN57" s="12">
        <f t="shared" si="7"/>
        <v>0</v>
      </c>
      <c r="AO57" s="12" t="s">
        <v>161</v>
      </c>
      <c r="AP57" s="12" t="str">
        <f>IFERROR(VLOOKUP(AN57,JUN!$U$23:$W$38,3,FALSE),"")</f>
        <v/>
      </c>
    </row>
    <row r="58" spans="39:42" ht="14.25" customHeight="1">
      <c r="AM58" s="12" t="str">
        <f t="shared" si="0"/>
        <v/>
      </c>
      <c r="AN58" s="12">
        <f t="shared" si="7"/>
        <v>0</v>
      </c>
      <c r="AO58" s="12" t="s">
        <v>161</v>
      </c>
      <c r="AP58" s="12" t="str">
        <f>IFERROR(VLOOKUP(AN58,JUN!$U$23:$W$38,3,FALSE),"")</f>
        <v/>
      </c>
    </row>
    <row r="59" spans="39:42" ht="14.25" customHeight="1">
      <c r="AM59" s="12" t="str">
        <f t="shared" si="0"/>
        <v/>
      </c>
      <c r="AN59" s="12">
        <f t="shared" si="7"/>
        <v>0</v>
      </c>
      <c r="AO59" s="12" t="s">
        <v>161</v>
      </c>
      <c r="AP59" s="12" t="str">
        <f>IFERROR(VLOOKUP(AN59,JUN!$U$23:$W$38,3,FALSE),"")</f>
        <v/>
      </c>
    </row>
    <row r="60" spans="39:42" ht="14.25" customHeight="1">
      <c r="AM60" s="12" t="str">
        <f t="shared" si="0"/>
        <v/>
      </c>
      <c r="AN60" s="12">
        <f t="shared" si="7"/>
        <v>0</v>
      </c>
      <c r="AO60" s="12" t="s">
        <v>161</v>
      </c>
      <c r="AP60" s="12" t="str">
        <f>IFERROR(VLOOKUP(AN60,JUN!$U$23:$W$38,3,FALSE),"")</f>
        <v/>
      </c>
    </row>
    <row r="61" spans="39:42" ht="14.25" customHeight="1">
      <c r="AM61" s="12" t="str">
        <f t="shared" si="0"/>
        <v/>
      </c>
      <c r="AN61" s="12">
        <f t="shared" si="7"/>
        <v>0</v>
      </c>
      <c r="AO61" s="12" t="s">
        <v>161</v>
      </c>
      <c r="AP61" s="12" t="str">
        <f>IFERROR(VLOOKUP(AN61,JUN!$U$23:$W$38,3,FALSE),"")</f>
        <v/>
      </c>
    </row>
    <row r="62" spans="39:42" ht="14.25" customHeight="1">
      <c r="AM62" s="12" t="str">
        <f t="shared" si="0"/>
        <v/>
      </c>
      <c r="AN62" s="12">
        <f t="shared" si="7"/>
        <v>0</v>
      </c>
      <c r="AO62" s="12" t="s">
        <v>161</v>
      </c>
      <c r="AP62" s="12" t="str">
        <f>IFERROR(VLOOKUP(AN62,JUN!$U$23:$W$38,3,FALSE),"")</f>
        <v/>
      </c>
    </row>
    <row r="63" spans="39:42" ht="14.25" customHeight="1">
      <c r="AM63" s="12" t="str">
        <f t="shared" si="0"/>
        <v/>
      </c>
      <c r="AN63" s="12">
        <f t="shared" si="7"/>
        <v>0</v>
      </c>
      <c r="AO63" s="12" t="s">
        <v>161</v>
      </c>
      <c r="AP63" s="12" t="str">
        <f>IFERROR(VLOOKUP(AN63,JUN!$U$23:$W$38,3,FALSE),"")</f>
        <v/>
      </c>
    </row>
    <row r="64" spans="39:42" ht="14.25" customHeight="1">
      <c r="AM64" s="12" t="str">
        <f t="shared" si="0"/>
        <v/>
      </c>
      <c r="AN64" s="12">
        <f t="shared" si="7"/>
        <v>0</v>
      </c>
      <c r="AO64" s="12" t="s">
        <v>161</v>
      </c>
      <c r="AP64" s="12" t="str">
        <f>IFERROR(VLOOKUP(AN64,JUN!$U$23:$W$38,3,FALSE),"")</f>
        <v/>
      </c>
    </row>
    <row r="65" spans="39:42" ht="14.25" customHeight="1">
      <c r="AM65" s="12" t="str">
        <f t="shared" si="0"/>
        <v/>
      </c>
      <c r="AN65" s="12">
        <f t="shared" si="7"/>
        <v>0</v>
      </c>
      <c r="AO65" s="12" t="s">
        <v>161</v>
      </c>
      <c r="AP65" s="12" t="str">
        <f>IFERROR(VLOOKUP(AN65,JUN!$U$23:$W$38,3,FALSE),"")</f>
        <v/>
      </c>
    </row>
    <row r="66" spans="39:42" ht="14.25" customHeight="1"/>
    <row r="67" spans="39:42" ht="14.25" customHeight="1"/>
    <row r="68" spans="39:42" ht="14.25" customHeight="1"/>
    <row r="69" spans="39:42" ht="14.25" customHeight="1"/>
    <row r="70" spans="39:42" ht="14.25" customHeight="1"/>
    <row r="71" spans="39:42" ht="14.25" customHeight="1"/>
    <row r="72" spans="39:42" ht="14.25" customHeight="1"/>
    <row r="73" spans="39:42" ht="14.25" customHeight="1"/>
    <row r="74" spans="39:42" ht="14.25" customHeight="1"/>
    <row r="75" spans="39:42" ht="14.25" customHeight="1"/>
    <row r="76" spans="39:42" ht="14.25" customHeight="1"/>
    <row r="77" spans="39:42" ht="14.25" customHeight="1"/>
    <row r="78" spans="39:42" ht="14.25" customHeight="1"/>
    <row r="79" spans="39:42" ht="14.25" customHeight="1"/>
    <row r="80" spans="39:4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N2:AP65" xr:uid="{00000000-0009-0000-0000-000006000000}"/>
  <mergeCells count="18">
    <mergeCell ref="B2:D4"/>
    <mergeCell ref="F2:H3"/>
    <mergeCell ref="J2:L3"/>
    <mergeCell ref="R2:T3"/>
    <mergeCell ref="F4:H5"/>
    <mergeCell ref="J4:L5"/>
    <mergeCell ref="R4:T5"/>
    <mergeCell ref="B5:D5"/>
    <mergeCell ref="B7:D9"/>
    <mergeCell ref="B20:D21"/>
    <mergeCell ref="F20:I21"/>
    <mergeCell ref="K20:N21"/>
    <mergeCell ref="N2:P3"/>
    <mergeCell ref="N4:P5"/>
    <mergeCell ref="V2:X3"/>
    <mergeCell ref="V4:X5"/>
    <mergeCell ref="U20:X21"/>
    <mergeCell ref="P20:S21"/>
  </mergeCells>
  <pageMargins left="0.7" right="0.7" top="0.75" bottom="0.75" header="0" footer="0"/>
  <pageSetup orientation="landscape"/>
  <drawing r:id="rId1"/>
  <tableParts count="5">
    <tablePart r:id="rId2"/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600-000000000000}">
          <x14:formula1>
            <xm:f>lists!$D$2:$D$21</xm:f>
          </x14:formula1>
          <xm:sqref>P23:P38</xm:sqref>
        </x14:dataValidation>
        <x14:dataValidation type="list" allowBlank="1" showErrorMessage="1" xr:uid="{00000000-0002-0000-0600-000001000000}">
          <x14:formula1>
            <xm:f>lists!$A$2:$A$35</xm:f>
          </x14:formula1>
          <xm:sqref>B23:B38</xm:sqref>
        </x14:dataValidation>
        <x14:dataValidation type="list" allowBlank="1" showErrorMessage="1" xr:uid="{00000000-0002-0000-0600-000002000000}">
          <x14:formula1>
            <xm:f>lists!$B$2:$B$24</xm:f>
          </x14:formula1>
          <xm:sqref>F23:F38</xm:sqref>
        </x14:dataValidation>
        <x14:dataValidation type="list" allowBlank="1" showErrorMessage="1" xr:uid="{00000000-0002-0000-0600-000003000000}">
          <x14:formula1>
            <xm:f>lists!$E$2:$E$25</xm:f>
          </x14:formula1>
          <xm:sqref>U23:U38</xm:sqref>
        </x14:dataValidation>
        <x14:dataValidation type="list" allowBlank="1" showErrorMessage="1" xr:uid="{00000000-0002-0000-0600-000004000000}">
          <x14:formula1>
            <xm:f>lists!$C$2:$C$32</xm:f>
          </x14:formula1>
          <xm:sqref>K23:K38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B7B7B"/>
  </sheetPr>
  <dimension ref="B1:AP1000"/>
  <sheetViews>
    <sheetView workbookViewId="0"/>
  </sheetViews>
  <sheetFormatPr defaultColWidth="14.3984375" defaultRowHeight="15" customHeight="1"/>
  <cols>
    <col min="1" max="1" width="3.3984375" customWidth="1"/>
    <col min="2" max="2" width="14.265625" customWidth="1"/>
    <col min="3" max="3" width="14.3984375" customWidth="1"/>
    <col min="4" max="4" width="15.3984375" customWidth="1"/>
    <col min="5" max="5" width="4.3984375" customWidth="1"/>
    <col min="6" max="6" width="12.1328125" customWidth="1"/>
    <col min="7" max="8" width="12.73046875" customWidth="1"/>
    <col min="9" max="9" width="11.73046875" customWidth="1"/>
    <col min="10" max="10" width="8.73046875" customWidth="1"/>
    <col min="11" max="11" width="10.1328125" customWidth="1"/>
    <col min="12" max="13" width="11.86328125" customWidth="1"/>
    <col min="14" max="14" width="11.73046875" customWidth="1"/>
    <col min="15" max="15" width="8.73046875" customWidth="1"/>
    <col min="16" max="16" width="13.86328125" customWidth="1"/>
    <col min="17" max="18" width="11.86328125" customWidth="1"/>
    <col min="19" max="19" width="11.73046875" customWidth="1"/>
    <col min="20" max="20" width="8.73046875" customWidth="1"/>
    <col min="21" max="21" width="16.265625" customWidth="1"/>
    <col min="22" max="22" width="13" customWidth="1"/>
    <col min="23" max="23" width="17.1328125" customWidth="1"/>
    <col min="24" max="24" width="13.86328125" customWidth="1"/>
    <col min="25" max="37" width="8.73046875" customWidth="1"/>
    <col min="38" max="39" width="8.73046875" hidden="1" customWidth="1"/>
    <col min="40" max="40" width="17.53125" hidden="1" customWidth="1"/>
    <col min="41" max="41" width="12.3984375" hidden="1" customWidth="1"/>
    <col min="42" max="42" width="14.86328125" hidden="1" customWidth="1"/>
  </cols>
  <sheetData>
    <row r="1" spans="2:42" ht="14.25" customHeight="1"/>
    <row r="2" spans="2:42" ht="19.5" customHeight="1">
      <c r="B2" s="50" t="s">
        <v>180</v>
      </c>
      <c r="C2" s="30"/>
      <c r="D2" s="25"/>
      <c r="F2" s="29" t="s">
        <v>157</v>
      </c>
      <c r="G2" s="30"/>
      <c r="H2" s="25"/>
      <c r="J2" s="29" t="s">
        <v>158</v>
      </c>
      <c r="K2" s="30"/>
      <c r="L2" s="25"/>
      <c r="N2" s="29" t="s">
        <v>159</v>
      </c>
      <c r="O2" s="30"/>
      <c r="P2" s="25"/>
      <c r="R2" s="49" t="s">
        <v>160</v>
      </c>
      <c r="S2" s="30"/>
      <c r="T2" s="25"/>
      <c r="V2" s="33" t="s">
        <v>161</v>
      </c>
      <c r="W2" s="30"/>
      <c r="X2" s="25"/>
      <c r="AM2" s="11" t="s">
        <v>162</v>
      </c>
      <c r="AN2" s="11" t="s">
        <v>163</v>
      </c>
      <c r="AO2" s="11" t="s">
        <v>164</v>
      </c>
      <c r="AP2" s="11" t="s">
        <v>165</v>
      </c>
    </row>
    <row r="3" spans="2:42" ht="19.5" customHeight="1">
      <c r="B3" s="51"/>
      <c r="C3" s="45"/>
      <c r="D3" s="52"/>
      <c r="F3" s="26"/>
      <c r="G3" s="31"/>
      <c r="H3" s="27"/>
      <c r="J3" s="26"/>
      <c r="K3" s="31"/>
      <c r="L3" s="27"/>
      <c r="N3" s="26"/>
      <c r="O3" s="31"/>
      <c r="P3" s="27"/>
      <c r="R3" s="26"/>
      <c r="S3" s="31"/>
      <c r="T3" s="27"/>
      <c r="V3" s="26"/>
      <c r="W3" s="31"/>
      <c r="X3" s="27"/>
      <c r="AM3" s="12" t="str">
        <f t="shared" ref="AM3:AM65" si="0">IFERROR(_xlfn.RANK.EQ(AP3, $AP$3:$AP$150)+ COUNTIFS($AP$3:AP3, AP3) - 1,"")</f>
        <v/>
      </c>
      <c r="AN3" s="12">
        <f t="shared" ref="AN3:AN18" si="1">F23</f>
        <v>0</v>
      </c>
      <c r="AO3" s="12" t="s">
        <v>158</v>
      </c>
      <c r="AP3" s="12" t="str">
        <f>IFERROR(VLOOKUP(AN3,JUL!$F$23:$H$38,3,FALSE),"")</f>
        <v/>
      </c>
    </row>
    <row r="4" spans="2:42" ht="19.5" customHeight="1">
      <c r="B4" s="35"/>
      <c r="C4" s="36"/>
      <c r="D4" s="37"/>
      <c r="F4" s="32">
        <f>SUM(JUL!$D$23:$D$38)</f>
        <v>0</v>
      </c>
      <c r="G4" s="30"/>
      <c r="H4" s="25"/>
      <c r="J4" s="32">
        <f>SUM(JUL!$H$23:$H$38)</f>
        <v>0</v>
      </c>
      <c r="K4" s="30"/>
      <c r="L4" s="25"/>
      <c r="N4" s="32">
        <f>SUM(JUL!$M$23:$M$38)</f>
        <v>0</v>
      </c>
      <c r="O4" s="30"/>
      <c r="P4" s="25"/>
      <c r="R4" s="32">
        <f>SUM(JUL!$R$23:$R$38)</f>
        <v>0</v>
      </c>
      <c r="S4" s="30"/>
      <c r="T4" s="25"/>
      <c r="V4" s="32">
        <f>SUM(JUL!$W$23:$W$38)</f>
        <v>0</v>
      </c>
      <c r="W4" s="30"/>
      <c r="X4" s="25"/>
      <c r="AM4" s="12" t="str">
        <f t="shared" si="0"/>
        <v/>
      </c>
      <c r="AN4" s="12">
        <f t="shared" si="1"/>
        <v>0</v>
      </c>
      <c r="AO4" s="12" t="s">
        <v>158</v>
      </c>
      <c r="AP4" s="12" t="str">
        <f>IFERROR(VLOOKUP(AN4,JUL!$F$23:$H$38,3,FALSE),"")</f>
        <v/>
      </c>
    </row>
    <row r="5" spans="2:42" ht="21.75" customHeight="1">
      <c r="B5" s="38" t="s">
        <v>166</v>
      </c>
      <c r="C5" s="39"/>
      <c r="D5" s="40"/>
      <c r="F5" s="26"/>
      <c r="G5" s="31"/>
      <c r="H5" s="27"/>
      <c r="J5" s="26"/>
      <c r="K5" s="31"/>
      <c r="L5" s="27"/>
      <c r="N5" s="26"/>
      <c r="O5" s="31"/>
      <c r="P5" s="27"/>
      <c r="R5" s="26"/>
      <c r="S5" s="31"/>
      <c r="T5" s="27"/>
      <c r="V5" s="26"/>
      <c r="W5" s="31"/>
      <c r="X5" s="27"/>
      <c r="AM5" s="12" t="str">
        <f t="shared" si="0"/>
        <v/>
      </c>
      <c r="AN5" s="12">
        <f t="shared" si="1"/>
        <v>0</v>
      </c>
      <c r="AO5" s="12" t="s">
        <v>158</v>
      </c>
      <c r="AP5" s="12" t="str">
        <f>IFERROR(VLOOKUP(AN5,JUL!$F$23:$H$38,3,FALSE),"")</f>
        <v/>
      </c>
    </row>
    <row r="6" spans="2:42" ht="14.25" customHeight="1">
      <c r="AM6" s="12" t="str">
        <f t="shared" si="0"/>
        <v/>
      </c>
      <c r="AN6" s="12">
        <f t="shared" si="1"/>
        <v>0</v>
      </c>
      <c r="AO6" s="12" t="s">
        <v>158</v>
      </c>
      <c r="AP6" s="12" t="str">
        <f>IFERROR(VLOOKUP(AN6,JUL!$F$23:$H$38,3,FALSE),"")</f>
        <v/>
      </c>
    </row>
    <row r="7" spans="2:42" ht="13.5" customHeight="1">
      <c r="B7" s="41" t="s">
        <v>167</v>
      </c>
      <c r="C7" s="42"/>
      <c r="D7" s="43"/>
      <c r="V7" s="13" t="s">
        <v>168</v>
      </c>
      <c r="W7" s="13" t="s">
        <v>163</v>
      </c>
      <c r="X7" s="13" t="s">
        <v>169</v>
      </c>
      <c r="AM7" s="12" t="str">
        <f t="shared" si="0"/>
        <v/>
      </c>
      <c r="AN7" s="12">
        <f t="shared" si="1"/>
        <v>0</v>
      </c>
      <c r="AO7" s="12" t="s">
        <v>158</v>
      </c>
      <c r="AP7" s="12" t="str">
        <f>IFERROR(VLOOKUP(AN7,JUL!$F$23:$H$38,3,FALSE),"")</f>
        <v/>
      </c>
    </row>
    <row r="8" spans="2:42" ht="13.5" customHeight="1">
      <c r="B8" s="44"/>
      <c r="C8" s="45"/>
      <c r="D8" s="46"/>
      <c r="V8" s="12">
        <v>1</v>
      </c>
      <c r="W8" s="12" t="str">
        <f t="shared" ref="W8:W18" si="2">IFERROR(VLOOKUP(V8,$AM$3:$AP$65,2,FALSE),"")</f>
        <v/>
      </c>
      <c r="X8" s="12" t="str">
        <f t="shared" ref="X8:X18" si="3">IFERROR(VLOOKUP(V8,$AM$3:$AP$65,4,FALSE),"")</f>
        <v/>
      </c>
      <c r="AM8" s="12" t="str">
        <f t="shared" si="0"/>
        <v/>
      </c>
      <c r="AN8" s="12">
        <f t="shared" si="1"/>
        <v>0</v>
      </c>
      <c r="AO8" s="12" t="s">
        <v>158</v>
      </c>
      <c r="AP8" s="12" t="str">
        <f>IFERROR(VLOOKUP(AN8,JUL!$F$23:$H$38,3,FALSE),"")</f>
        <v/>
      </c>
    </row>
    <row r="9" spans="2:42" ht="13.5" customHeight="1">
      <c r="B9" s="47"/>
      <c r="C9" s="31"/>
      <c r="D9" s="48"/>
      <c r="V9" s="12">
        <v>2</v>
      </c>
      <c r="W9" s="12" t="str">
        <f t="shared" si="2"/>
        <v/>
      </c>
      <c r="X9" s="12" t="str">
        <f t="shared" si="3"/>
        <v/>
      </c>
      <c r="AM9" s="12" t="str">
        <f t="shared" si="0"/>
        <v/>
      </c>
      <c r="AN9" s="12">
        <f t="shared" si="1"/>
        <v>0</v>
      </c>
      <c r="AO9" s="12" t="s">
        <v>158</v>
      </c>
      <c r="AP9" s="12" t="str">
        <f>IFERROR(VLOOKUP(AN9,JUL!$F$23:$H$38,3,FALSE),"")</f>
        <v/>
      </c>
    </row>
    <row r="10" spans="2:42" ht="13.5" customHeight="1">
      <c r="B10" s="14"/>
      <c r="C10" s="14" t="s">
        <v>170</v>
      </c>
      <c r="D10" s="14" t="s">
        <v>171</v>
      </c>
      <c r="V10" s="12">
        <v>3</v>
      </c>
      <c r="W10" s="12" t="str">
        <f t="shared" si="2"/>
        <v/>
      </c>
      <c r="X10" s="12" t="str">
        <f t="shared" si="3"/>
        <v/>
      </c>
      <c r="AM10" s="12" t="str">
        <f t="shared" si="0"/>
        <v/>
      </c>
      <c r="AN10" s="12">
        <f t="shared" si="1"/>
        <v>0</v>
      </c>
      <c r="AO10" s="12" t="s">
        <v>158</v>
      </c>
      <c r="AP10" s="12" t="str">
        <f>IFERROR(VLOOKUP(AN10,JUL!$F$23:$H$38,3,FALSE),"")</f>
        <v/>
      </c>
    </row>
    <row r="11" spans="2:42" ht="13.5" customHeight="1">
      <c r="B11" s="15" t="s">
        <v>157</v>
      </c>
      <c r="C11" s="16">
        <f>SUM(JUL!$C$23:$C$38)</f>
        <v>0</v>
      </c>
      <c r="D11" s="17">
        <f>SUM(JUL!$D$23:$D$38)</f>
        <v>0</v>
      </c>
      <c r="V11" s="12">
        <v>4</v>
      </c>
      <c r="W11" s="12" t="str">
        <f t="shared" si="2"/>
        <v/>
      </c>
      <c r="X11" s="12" t="str">
        <f t="shared" si="3"/>
        <v/>
      </c>
      <c r="AM11" s="12" t="str">
        <f t="shared" si="0"/>
        <v/>
      </c>
      <c r="AN11" s="12">
        <f t="shared" si="1"/>
        <v>0</v>
      </c>
      <c r="AO11" s="12" t="s">
        <v>158</v>
      </c>
      <c r="AP11" s="12" t="str">
        <f>IFERROR(VLOOKUP(AN11,JUL!$F$23:$H$38,3,FALSE),"")</f>
        <v/>
      </c>
    </row>
    <row r="12" spans="2:42" ht="13.5" customHeight="1">
      <c r="B12" s="15" t="s">
        <v>158</v>
      </c>
      <c r="C12" s="16">
        <f>SUM(JUL!$G$23:$G$38)</f>
        <v>0</v>
      </c>
      <c r="D12" s="17">
        <f>SUM(JUL!$H$23:$H$38)</f>
        <v>0</v>
      </c>
      <c r="V12" s="12">
        <v>5</v>
      </c>
      <c r="W12" s="12" t="str">
        <f t="shared" si="2"/>
        <v/>
      </c>
      <c r="X12" s="12" t="str">
        <f t="shared" si="3"/>
        <v/>
      </c>
      <c r="AM12" s="12" t="str">
        <f t="shared" si="0"/>
        <v/>
      </c>
      <c r="AN12" s="12">
        <f t="shared" si="1"/>
        <v>0</v>
      </c>
      <c r="AO12" s="12" t="s">
        <v>158</v>
      </c>
      <c r="AP12" s="12" t="str">
        <f>IFERROR(VLOOKUP(AN12,JUL!$F$23:$H$38,3,FALSE),"")</f>
        <v/>
      </c>
    </row>
    <row r="13" spans="2:42" ht="13.5" customHeight="1">
      <c r="B13" s="15" t="s">
        <v>159</v>
      </c>
      <c r="C13" s="16">
        <f>SUM(JUL!$L$23:$L$38)</f>
        <v>0</v>
      </c>
      <c r="D13" s="17">
        <f>SUM(JUL!$M$23:$M$38)</f>
        <v>0</v>
      </c>
      <c r="V13" s="12">
        <v>6</v>
      </c>
      <c r="W13" s="12" t="str">
        <f t="shared" si="2"/>
        <v/>
      </c>
      <c r="X13" s="12" t="str">
        <f t="shared" si="3"/>
        <v/>
      </c>
      <c r="AM13" s="12" t="str">
        <f t="shared" si="0"/>
        <v/>
      </c>
      <c r="AN13" s="12">
        <f t="shared" si="1"/>
        <v>0</v>
      </c>
      <c r="AO13" s="12" t="s">
        <v>158</v>
      </c>
      <c r="AP13" s="12" t="str">
        <f>IFERROR(VLOOKUP(AN13,JUL!$F$23:$H$38,3,FALSE),"")</f>
        <v/>
      </c>
    </row>
    <row r="14" spans="2:42" ht="13.5" customHeight="1">
      <c r="B14" s="15" t="s">
        <v>160</v>
      </c>
      <c r="C14" s="16">
        <f>SUM(JUL!$Q$23:$Q$38)</f>
        <v>0</v>
      </c>
      <c r="D14" s="17">
        <f>SUM(JUL!$R$23:$R$38)</f>
        <v>0</v>
      </c>
      <c r="V14" s="12">
        <v>7</v>
      </c>
      <c r="W14" s="12" t="str">
        <f t="shared" si="2"/>
        <v/>
      </c>
      <c r="X14" s="12" t="str">
        <f t="shared" si="3"/>
        <v/>
      </c>
      <c r="AM14" s="12" t="str">
        <f t="shared" si="0"/>
        <v/>
      </c>
      <c r="AN14" s="12">
        <f t="shared" si="1"/>
        <v>0</v>
      </c>
      <c r="AO14" s="12" t="s">
        <v>158</v>
      </c>
      <c r="AP14" s="12" t="str">
        <f>IFERROR(VLOOKUP(AN14,JUL!$F$23:$H$38,3,FALSE),"")</f>
        <v/>
      </c>
    </row>
    <row r="15" spans="2:42" ht="13.5" customHeight="1">
      <c r="B15" s="18" t="s">
        <v>161</v>
      </c>
      <c r="C15" s="19">
        <f>SUM(JUL!$V$23:$V$38)</f>
        <v>0</v>
      </c>
      <c r="D15" s="20">
        <f>SUM(JUL!$W$23:$W$38)</f>
        <v>0</v>
      </c>
      <c r="V15" s="12">
        <v>8</v>
      </c>
      <c r="W15" s="12" t="str">
        <f t="shared" si="2"/>
        <v/>
      </c>
      <c r="X15" s="12" t="str">
        <f t="shared" si="3"/>
        <v/>
      </c>
      <c r="AM15" s="12" t="str">
        <f t="shared" si="0"/>
        <v/>
      </c>
      <c r="AN15" s="12">
        <f t="shared" si="1"/>
        <v>0</v>
      </c>
      <c r="AO15" s="12" t="s">
        <v>158</v>
      </c>
      <c r="AP15" s="12" t="str">
        <f>IFERROR(VLOOKUP(AN15,JUL!$F$23:$H$38,3,FALSE),"")</f>
        <v/>
      </c>
    </row>
    <row r="16" spans="2:42" ht="13.5" customHeight="1">
      <c r="B16" s="21" t="s">
        <v>172</v>
      </c>
      <c r="C16" s="22">
        <f t="shared" ref="C16:D16" si="4">(C11-SUM(C12:C15))</f>
        <v>0</v>
      </c>
      <c r="D16" s="22">
        <f t="shared" si="4"/>
        <v>0</v>
      </c>
      <c r="V16" s="12">
        <v>9</v>
      </c>
      <c r="W16" s="12" t="str">
        <f t="shared" si="2"/>
        <v/>
      </c>
      <c r="X16" s="12" t="str">
        <f t="shared" si="3"/>
        <v/>
      </c>
      <c r="AM16" s="12" t="str">
        <f t="shared" si="0"/>
        <v/>
      </c>
      <c r="AN16" s="12">
        <f t="shared" si="1"/>
        <v>0</v>
      </c>
      <c r="AO16" s="12" t="s">
        <v>158</v>
      </c>
      <c r="AP16" s="12" t="str">
        <f>IFERROR(VLOOKUP(AN16,JUL!$F$23:$H$38,3,FALSE),"")</f>
        <v/>
      </c>
    </row>
    <row r="17" spans="2:42" ht="13.5" customHeight="1">
      <c r="C17" s="16"/>
      <c r="D17" s="16"/>
      <c r="V17" s="12">
        <v>10</v>
      </c>
      <c r="W17" s="12" t="str">
        <f t="shared" si="2"/>
        <v/>
      </c>
      <c r="X17" s="12" t="str">
        <f t="shared" si="3"/>
        <v/>
      </c>
      <c r="AM17" s="12" t="str">
        <f t="shared" si="0"/>
        <v/>
      </c>
      <c r="AN17" s="12">
        <f t="shared" si="1"/>
        <v>0</v>
      </c>
      <c r="AO17" s="12" t="s">
        <v>158</v>
      </c>
      <c r="AP17" s="12" t="str">
        <f>IFERROR(VLOOKUP(AN17,JUL!$F$23:$H$38,3,FALSE),"")</f>
        <v/>
      </c>
    </row>
    <row r="18" spans="2:42" ht="13.5" customHeight="1">
      <c r="V18" s="12">
        <v>11</v>
      </c>
      <c r="W18" s="12" t="str">
        <f t="shared" si="2"/>
        <v/>
      </c>
      <c r="X18" s="12" t="str">
        <f t="shared" si="3"/>
        <v/>
      </c>
      <c r="AM18" s="12" t="str">
        <f t="shared" si="0"/>
        <v/>
      </c>
      <c r="AN18" s="12">
        <f t="shared" si="1"/>
        <v>0</v>
      </c>
      <c r="AO18" s="12" t="s">
        <v>158</v>
      </c>
      <c r="AP18" s="12" t="str">
        <f>IFERROR(VLOOKUP(AN18,JUL!$F$23:$H$38,3,FALSE),"")</f>
        <v/>
      </c>
    </row>
    <row r="19" spans="2:42" ht="14.25" customHeight="1">
      <c r="AM19" s="12" t="str">
        <f t="shared" si="0"/>
        <v/>
      </c>
      <c r="AN19" s="12">
        <f t="shared" ref="AN19:AN34" si="5">K23</f>
        <v>0</v>
      </c>
      <c r="AO19" s="12" t="s">
        <v>159</v>
      </c>
      <c r="AP19" s="12" t="str">
        <f>IFERROR(VLOOKUP(AN19,JUL!$K$23:$M$38,3,FALSE),"")</f>
        <v/>
      </c>
    </row>
    <row r="20" spans="2:42" ht="14.25" customHeight="1">
      <c r="B20" s="29" t="s">
        <v>157</v>
      </c>
      <c r="C20" s="30"/>
      <c r="D20" s="25"/>
      <c r="F20" s="29" t="s">
        <v>158</v>
      </c>
      <c r="G20" s="30"/>
      <c r="H20" s="30"/>
      <c r="I20" s="25"/>
      <c r="K20" s="29" t="s">
        <v>159</v>
      </c>
      <c r="L20" s="30"/>
      <c r="M20" s="30"/>
      <c r="N20" s="25"/>
      <c r="P20" s="49" t="s">
        <v>160</v>
      </c>
      <c r="Q20" s="30"/>
      <c r="R20" s="30"/>
      <c r="S20" s="25"/>
      <c r="U20" s="34" t="s">
        <v>161</v>
      </c>
      <c r="V20" s="30"/>
      <c r="W20" s="30"/>
      <c r="X20" s="25"/>
      <c r="AM20" s="12" t="str">
        <f t="shared" si="0"/>
        <v/>
      </c>
      <c r="AN20" s="12">
        <f t="shared" si="5"/>
        <v>0</v>
      </c>
      <c r="AO20" s="12" t="s">
        <v>159</v>
      </c>
      <c r="AP20" s="12" t="str">
        <f>IFERROR(VLOOKUP(AN20,JUL!$K$23:$M$38,3,FALSE),"")</f>
        <v/>
      </c>
    </row>
    <row r="21" spans="2:42" ht="14.25" customHeight="1">
      <c r="B21" s="35"/>
      <c r="C21" s="36"/>
      <c r="D21" s="37"/>
      <c r="F21" s="35"/>
      <c r="G21" s="36"/>
      <c r="H21" s="36"/>
      <c r="I21" s="37"/>
      <c r="K21" s="35"/>
      <c r="L21" s="36"/>
      <c r="M21" s="36"/>
      <c r="N21" s="37"/>
      <c r="P21" s="35"/>
      <c r="Q21" s="36"/>
      <c r="R21" s="36"/>
      <c r="S21" s="37"/>
      <c r="U21" s="35"/>
      <c r="V21" s="36"/>
      <c r="W21" s="36"/>
      <c r="X21" s="37"/>
      <c r="AM21" s="12" t="str">
        <f t="shared" si="0"/>
        <v/>
      </c>
      <c r="AN21" s="12">
        <f t="shared" si="5"/>
        <v>0</v>
      </c>
      <c r="AO21" s="12" t="s">
        <v>159</v>
      </c>
      <c r="AP21" s="12" t="str">
        <f>IFERROR(VLOOKUP(AN21,JUL!$K$23:$M$38,3,FALSE),"")</f>
        <v/>
      </c>
    </row>
    <row r="22" spans="2:42" ht="14.25" customHeight="1">
      <c r="B22" s="15" t="s">
        <v>173</v>
      </c>
      <c r="C22" s="10" t="s">
        <v>170</v>
      </c>
      <c r="D22" s="23" t="s">
        <v>171</v>
      </c>
      <c r="F22" s="15" t="s">
        <v>173</v>
      </c>
      <c r="G22" s="10" t="s">
        <v>170</v>
      </c>
      <c r="H22" s="10" t="s">
        <v>171</v>
      </c>
      <c r="I22" s="23" t="s">
        <v>174</v>
      </c>
      <c r="K22" s="15" t="s">
        <v>173</v>
      </c>
      <c r="L22" s="10" t="s">
        <v>170</v>
      </c>
      <c r="M22" s="10" t="s">
        <v>171</v>
      </c>
      <c r="N22" s="23" t="s">
        <v>174</v>
      </c>
      <c r="P22" s="15" t="s">
        <v>173</v>
      </c>
      <c r="Q22" s="10" t="s">
        <v>170</v>
      </c>
      <c r="R22" s="10" t="s">
        <v>171</v>
      </c>
      <c r="S22" s="23" t="s">
        <v>174</v>
      </c>
      <c r="U22" s="15" t="s">
        <v>173</v>
      </c>
      <c r="V22" s="10" t="s">
        <v>170</v>
      </c>
      <c r="W22" s="10" t="s">
        <v>171</v>
      </c>
      <c r="X22" s="23" t="s">
        <v>174</v>
      </c>
      <c r="AM22" s="12" t="str">
        <f t="shared" si="0"/>
        <v/>
      </c>
      <c r="AN22" s="12">
        <f t="shared" si="5"/>
        <v>0</v>
      </c>
      <c r="AO22" s="12" t="s">
        <v>159</v>
      </c>
      <c r="AP22" s="12" t="str">
        <f>IFERROR(VLOOKUP(AN22,JUL!$K$23:$M$38,3,FALSE),"")</f>
        <v/>
      </c>
    </row>
    <row r="23" spans="2:42" ht="14.25" customHeight="1">
      <c r="B23" s="15"/>
      <c r="C23" s="16"/>
      <c r="D23" s="17"/>
      <c r="F23" s="15"/>
      <c r="G23" s="16"/>
      <c r="H23" s="16"/>
      <c r="I23" s="17">
        <f>JUL!$G23-JUL!$H23</f>
        <v>0</v>
      </c>
      <c r="K23" s="15"/>
      <c r="L23" s="16"/>
      <c r="M23" s="16"/>
      <c r="N23" s="17">
        <f>JUL!$L23-JUL!$M23</f>
        <v>0</v>
      </c>
      <c r="P23" s="15"/>
      <c r="Q23" s="16"/>
      <c r="R23" s="16"/>
      <c r="S23" s="17">
        <f>JUL!$Q23-JUL!$R23</f>
        <v>0</v>
      </c>
      <c r="U23" s="15"/>
      <c r="V23" s="16"/>
      <c r="W23" s="16"/>
      <c r="X23" s="17">
        <f>JUL!$V23-JUL!$W23</f>
        <v>0</v>
      </c>
      <c r="AM23" s="12" t="str">
        <f t="shared" si="0"/>
        <v/>
      </c>
      <c r="AN23" s="12">
        <f t="shared" si="5"/>
        <v>0</v>
      </c>
      <c r="AO23" s="12" t="s">
        <v>159</v>
      </c>
      <c r="AP23" s="12" t="str">
        <f>IFERROR(VLOOKUP(AN23,JUL!$K$23:$M$38,3,FALSE),"")</f>
        <v/>
      </c>
    </row>
    <row r="24" spans="2:42" ht="14.25" customHeight="1">
      <c r="B24" s="15"/>
      <c r="C24" s="16"/>
      <c r="D24" s="17"/>
      <c r="F24" s="15"/>
      <c r="G24" s="16"/>
      <c r="H24" s="16"/>
      <c r="I24" s="17">
        <f>JUL!$G24-JUL!$H24</f>
        <v>0</v>
      </c>
      <c r="K24" s="15"/>
      <c r="L24" s="16"/>
      <c r="M24" s="16"/>
      <c r="N24" s="17">
        <f>JUL!$L24-JUL!$M24</f>
        <v>0</v>
      </c>
      <c r="P24" s="15"/>
      <c r="Q24" s="16"/>
      <c r="R24" s="16"/>
      <c r="S24" s="17">
        <f>JUL!$Q24-JUL!$R24</f>
        <v>0</v>
      </c>
      <c r="U24" s="15"/>
      <c r="V24" s="16"/>
      <c r="W24" s="16"/>
      <c r="X24" s="17">
        <f>JUL!$V24-JUL!$W24</f>
        <v>0</v>
      </c>
      <c r="AM24" s="12" t="str">
        <f t="shared" si="0"/>
        <v/>
      </c>
      <c r="AN24" s="12">
        <f t="shared" si="5"/>
        <v>0</v>
      </c>
      <c r="AO24" s="12" t="s">
        <v>159</v>
      </c>
      <c r="AP24" s="12" t="str">
        <f>IFERROR(VLOOKUP(AN24,JUL!$K$23:$M$38,3,FALSE),"")</f>
        <v/>
      </c>
    </row>
    <row r="25" spans="2:42" ht="14.25" customHeight="1">
      <c r="B25" s="15"/>
      <c r="C25" s="16"/>
      <c r="D25" s="17"/>
      <c r="F25" s="15"/>
      <c r="G25" s="16"/>
      <c r="H25" s="16"/>
      <c r="I25" s="17">
        <f>JUL!$G25-JUL!$H25</f>
        <v>0</v>
      </c>
      <c r="K25" s="15"/>
      <c r="L25" s="16"/>
      <c r="M25" s="16"/>
      <c r="N25" s="17">
        <f>JUL!$L25-JUL!$M25</f>
        <v>0</v>
      </c>
      <c r="P25" s="15"/>
      <c r="Q25" s="16"/>
      <c r="R25" s="16"/>
      <c r="S25" s="17">
        <f>JUL!$Q25-JUL!$R25</f>
        <v>0</v>
      </c>
      <c r="U25" s="15"/>
      <c r="V25" s="16"/>
      <c r="W25" s="16"/>
      <c r="X25" s="17">
        <f>JUL!$V25-JUL!$W25</f>
        <v>0</v>
      </c>
      <c r="AM25" s="12" t="str">
        <f t="shared" si="0"/>
        <v/>
      </c>
      <c r="AN25" s="12">
        <f t="shared" si="5"/>
        <v>0</v>
      </c>
      <c r="AO25" s="12" t="s">
        <v>159</v>
      </c>
      <c r="AP25" s="12" t="str">
        <f>IFERROR(VLOOKUP(AN25,JUL!$K$23:$M$38,3,FALSE),"")</f>
        <v/>
      </c>
    </row>
    <row r="26" spans="2:42" ht="14.25" customHeight="1">
      <c r="B26" s="15"/>
      <c r="C26" s="16"/>
      <c r="D26" s="17"/>
      <c r="F26" s="15"/>
      <c r="G26" s="16"/>
      <c r="H26" s="16"/>
      <c r="I26" s="17">
        <f>JUL!$G26-JUL!$H26</f>
        <v>0</v>
      </c>
      <c r="K26" s="15"/>
      <c r="L26" s="16"/>
      <c r="M26" s="16"/>
      <c r="N26" s="17">
        <f>JUL!$L26-JUL!$M26</f>
        <v>0</v>
      </c>
      <c r="P26" s="15"/>
      <c r="Q26" s="16"/>
      <c r="R26" s="16"/>
      <c r="S26" s="17">
        <f>JUL!$Q26-JUL!$R26</f>
        <v>0</v>
      </c>
      <c r="U26" s="15"/>
      <c r="V26" s="16"/>
      <c r="W26" s="16"/>
      <c r="X26" s="17">
        <f>JUL!$V26-JUL!$W26</f>
        <v>0</v>
      </c>
      <c r="AM26" s="12" t="str">
        <f t="shared" si="0"/>
        <v/>
      </c>
      <c r="AN26" s="12">
        <f t="shared" si="5"/>
        <v>0</v>
      </c>
      <c r="AO26" s="12" t="s">
        <v>159</v>
      </c>
      <c r="AP26" s="12" t="str">
        <f>IFERROR(VLOOKUP(AN26,JUL!$K$23:$M$38,3,FALSE),"")</f>
        <v/>
      </c>
    </row>
    <row r="27" spans="2:42" ht="14.25" customHeight="1">
      <c r="B27" s="15"/>
      <c r="C27" s="16"/>
      <c r="D27" s="17"/>
      <c r="F27" s="15"/>
      <c r="G27" s="16"/>
      <c r="H27" s="16"/>
      <c r="I27" s="17">
        <f>JUL!$G27-JUL!$H27</f>
        <v>0</v>
      </c>
      <c r="K27" s="15"/>
      <c r="L27" s="16"/>
      <c r="M27" s="16"/>
      <c r="N27" s="17">
        <f>JUL!$L27-JUL!$M27</f>
        <v>0</v>
      </c>
      <c r="P27" s="15"/>
      <c r="Q27" s="16"/>
      <c r="R27" s="16"/>
      <c r="S27" s="17">
        <f>JUL!$Q27-JUL!$R27</f>
        <v>0</v>
      </c>
      <c r="U27" s="15"/>
      <c r="V27" s="16"/>
      <c r="W27" s="16"/>
      <c r="X27" s="17">
        <f>JUL!$V27-JUL!$W27</f>
        <v>0</v>
      </c>
      <c r="AM27" s="12" t="str">
        <f t="shared" si="0"/>
        <v/>
      </c>
      <c r="AN27" s="12">
        <f t="shared" si="5"/>
        <v>0</v>
      </c>
      <c r="AO27" s="12" t="s">
        <v>159</v>
      </c>
      <c r="AP27" s="12" t="str">
        <f>IFERROR(VLOOKUP(AN27,JUL!$K$23:$M$38,3,FALSE),"")</f>
        <v/>
      </c>
    </row>
    <row r="28" spans="2:42" ht="14.25" customHeight="1">
      <c r="B28" s="15"/>
      <c r="C28" s="16"/>
      <c r="D28" s="17"/>
      <c r="F28" s="15"/>
      <c r="G28" s="16"/>
      <c r="H28" s="16"/>
      <c r="I28" s="17">
        <f>JUL!$G28-JUL!$H28</f>
        <v>0</v>
      </c>
      <c r="K28" s="15"/>
      <c r="L28" s="16"/>
      <c r="M28" s="16"/>
      <c r="N28" s="17">
        <f>JUL!$L28-JUL!$M28</f>
        <v>0</v>
      </c>
      <c r="P28" s="15"/>
      <c r="Q28" s="16"/>
      <c r="R28" s="16"/>
      <c r="S28" s="17">
        <f>JUL!$Q28-JUL!$R28</f>
        <v>0</v>
      </c>
      <c r="U28" s="15"/>
      <c r="V28" s="16"/>
      <c r="W28" s="16"/>
      <c r="X28" s="17">
        <f>JUL!$V28-JUL!$W28</f>
        <v>0</v>
      </c>
      <c r="AM28" s="12" t="str">
        <f t="shared" si="0"/>
        <v/>
      </c>
      <c r="AN28" s="12">
        <f t="shared" si="5"/>
        <v>0</v>
      </c>
      <c r="AO28" s="12" t="s">
        <v>159</v>
      </c>
      <c r="AP28" s="12" t="str">
        <f>IFERROR(VLOOKUP(AN28,JUL!$K$23:$M$38,3,FALSE),"")</f>
        <v/>
      </c>
    </row>
    <row r="29" spans="2:42" ht="14.25" customHeight="1">
      <c r="B29" s="15"/>
      <c r="C29" s="16"/>
      <c r="D29" s="17"/>
      <c r="F29" s="15"/>
      <c r="G29" s="16"/>
      <c r="H29" s="16"/>
      <c r="I29" s="17">
        <f>JUL!$G29-JUL!$H29</f>
        <v>0</v>
      </c>
      <c r="K29" s="15"/>
      <c r="L29" s="16"/>
      <c r="M29" s="16"/>
      <c r="N29" s="17">
        <f>JUL!$L29-JUL!$M29</f>
        <v>0</v>
      </c>
      <c r="P29" s="15"/>
      <c r="Q29" s="16"/>
      <c r="R29" s="16"/>
      <c r="S29" s="17">
        <f>JUL!$Q29-JUL!$R29</f>
        <v>0</v>
      </c>
      <c r="U29" s="15"/>
      <c r="V29" s="16"/>
      <c r="W29" s="16"/>
      <c r="X29" s="17">
        <f>JUL!$V29-JUL!$W29</f>
        <v>0</v>
      </c>
      <c r="AM29" s="12" t="str">
        <f t="shared" si="0"/>
        <v/>
      </c>
      <c r="AN29" s="12">
        <f t="shared" si="5"/>
        <v>0</v>
      </c>
      <c r="AO29" s="12" t="s">
        <v>159</v>
      </c>
      <c r="AP29" s="12" t="str">
        <f>IFERROR(VLOOKUP(AN29,JUL!$K$23:$M$38,3,FALSE),"")</f>
        <v/>
      </c>
    </row>
    <row r="30" spans="2:42" ht="14.25" customHeight="1">
      <c r="B30" s="15"/>
      <c r="C30" s="16"/>
      <c r="D30" s="17"/>
      <c r="F30" s="15"/>
      <c r="G30" s="16"/>
      <c r="H30" s="16"/>
      <c r="I30" s="17">
        <f>JUL!$G30-JUL!$H30</f>
        <v>0</v>
      </c>
      <c r="K30" s="15"/>
      <c r="L30" s="16"/>
      <c r="M30" s="16"/>
      <c r="N30" s="17">
        <f>JUL!$L30-JUL!$M30</f>
        <v>0</v>
      </c>
      <c r="P30" s="15"/>
      <c r="Q30" s="16"/>
      <c r="R30" s="16"/>
      <c r="S30" s="17">
        <f>JUL!$Q30-JUL!$R30</f>
        <v>0</v>
      </c>
      <c r="U30" s="15"/>
      <c r="V30" s="16"/>
      <c r="W30" s="16"/>
      <c r="X30" s="17">
        <f>JUL!$V30-JUL!$W30</f>
        <v>0</v>
      </c>
      <c r="AM30" s="12" t="str">
        <f t="shared" si="0"/>
        <v/>
      </c>
      <c r="AN30" s="12">
        <f t="shared" si="5"/>
        <v>0</v>
      </c>
      <c r="AO30" s="12" t="s">
        <v>159</v>
      </c>
      <c r="AP30" s="12" t="str">
        <f>IFERROR(VLOOKUP(AN30,JUL!$K$23:$M$38,3,FALSE),"")</f>
        <v/>
      </c>
    </row>
    <row r="31" spans="2:42" ht="14.25" customHeight="1">
      <c r="B31" s="15"/>
      <c r="C31" s="16"/>
      <c r="D31" s="17"/>
      <c r="F31" s="15"/>
      <c r="G31" s="16"/>
      <c r="H31" s="16"/>
      <c r="I31" s="17">
        <f>JUL!$G31-JUL!$H31</f>
        <v>0</v>
      </c>
      <c r="K31" s="15"/>
      <c r="L31" s="16"/>
      <c r="M31" s="16"/>
      <c r="N31" s="17">
        <f>JUL!$L31-JUL!$M31</f>
        <v>0</v>
      </c>
      <c r="P31" s="15"/>
      <c r="Q31" s="16"/>
      <c r="R31" s="16"/>
      <c r="S31" s="17">
        <f>JUL!$Q31-JUL!$R31</f>
        <v>0</v>
      </c>
      <c r="U31" s="15"/>
      <c r="V31" s="16"/>
      <c r="W31" s="16"/>
      <c r="X31" s="17">
        <f>JUL!$V31-JUL!$W31</f>
        <v>0</v>
      </c>
      <c r="AM31" s="12" t="str">
        <f t="shared" si="0"/>
        <v/>
      </c>
      <c r="AN31" s="12">
        <f t="shared" si="5"/>
        <v>0</v>
      </c>
      <c r="AO31" s="12" t="s">
        <v>159</v>
      </c>
      <c r="AP31" s="12" t="str">
        <f>IFERROR(VLOOKUP(AN31,JUL!$K$23:$M$38,3,FALSE),"")</f>
        <v/>
      </c>
    </row>
    <row r="32" spans="2:42" ht="14.25" customHeight="1">
      <c r="B32" s="15"/>
      <c r="C32" s="16"/>
      <c r="D32" s="17"/>
      <c r="F32" s="15"/>
      <c r="G32" s="16"/>
      <c r="H32" s="16"/>
      <c r="I32" s="17">
        <f>JUL!$G32-JUL!$H32</f>
        <v>0</v>
      </c>
      <c r="K32" s="15"/>
      <c r="L32" s="16"/>
      <c r="M32" s="16"/>
      <c r="N32" s="17">
        <f>JUL!$L32-JUL!$M32</f>
        <v>0</v>
      </c>
      <c r="P32" s="15"/>
      <c r="Q32" s="16"/>
      <c r="R32" s="16"/>
      <c r="S32" s="17">
        <f>JUL!$Q32-JUL!$R32</f>
        <v>0</v>
      </c>
      <c r="U32" s="15"/>
      <c r="V32" s="16"/>
      <c r="W32" s="16"/>
      <c r="X32" s="17">
        <f>JUL!$V32-JUL!$W32</f>
        <v>0</v>
      </c>
      <c r="AM32" s="12" t="str">
        <f t="shared" si="0"/>
        <v/>
      </c>
      <c r="AN32" s="12">
        <f t="shared" si="5"/>
        <v>0</v>
      </c>
      <c r="AO32" s="12" t="s">
        <v>159</v>
      </c>
      <c r="AP32" s="12" t="str">
        <f>IFERROR(VLOOKUP(AN32,JUL!$K$23:$M$38,3,FALSE),"")</f>
        <v/>
      </c>
    </row>
    <row r="33" spans="2:42" ht="14.25" customHeight="1">
      <c r="B33" s="15"/>
      <c r="C33" s="16"/>
      <c r="D33" s="17"/>
      <c r="F33" s="15"/>
      <c r="G33" s="16"/>
      <c r="H33" s="16"/>
      <c r="I33" s="17">
        <f>JUL!$G33-JUL!$H33</f>
        <v>0</v>
      </c>
      <c r="K33" s="15"/>
      <c r="L33" s="16"/>
      <c r="M33" s="16"/>
      <c r="N33" s="17">
        <f>JUL!$L33-JUL!$M33</f>
        <v>0</v>
      </c>
      <c r="P33" s="15"/>
      <c r="Q33" s="16"/>
      <c r="R33" s="16"/>
      <c r="S33" s="17">
        <f>JUL!$Q33-JUL!$R33</f>
        <v>0</v>
      </c>
      <c r="U33" s="15"/>
      <c r="V33" s="16"/>
      <c r="W33" s="16"/>
      <c r="X33" s="17">
        <f>JUL!$V33-JUL!$W33</f>
        <v>0</v>
      </c>
      <c r="AM33" s="12" t="str">
        <f t="shared" si="0"/>
        <v/>
      </c>
      <c r="AN33" s="12">
        <f t="shared" si="5"/>
        <v>0</v>
      </c>
      <c r="AO33" s="12" t="s">
        <v>159</v>
      </c>
      <c r="AP33" s="12" t="str">
        <f>IFERROR(VLOOKUP(AN33,JUL!$K$23:$M$38,3,FALSE),"")</f>
        <v/>
      </c>
    </row>
    <row r="34" spans="2:42" ht="14.25" customHeight="1">
      <c r="B34" s="15"/>
      <c r="C34" s="16"/>
      <c r="D34" s="17"/>
      <c r="F34" s="15"/>
      <c r="G34" s="16"/>
      <c r="H34" s="16"/>
      <c r="I34" s="17">
        <f>JUL!$G34-JUL!$H34</f>
        <v>0</v>
      </c>
      <c r="K34" s="15"/>
      <c r="L34" s="16"/>
      <c r="M34" s="16"/>
      <c r="N34" s="17">
        <f>JUL!$L34-JUL!$M34</f>
        <v>0</v>
      </c>
      <c r="P34" s="15"/>
      <c r="Q34" s="16"/>
      <c r="R34" s="16"/>
      <c r="S34" s="17">
        <f>JUL!$Q34-JUL!$R34</f>
        <v>0</v>
      </c>
      <c r="U34" s="15"/>
      <c r="V34" s="16"/>
      <c r="W34" s="16"/>
      <c r="X34" s="17">
        <f>JUL!$V34-JUL!$W34</f>
        <v>0</v>
      </c>
      <c r="AM34" s="12" t="str">
        <f t="shared" si="0"/>
        <v/>
      </c>
      <c r="AN34" s="12">
        <f t="shared" si="5"/>
        <v>0</v>
      </c>
      <c r="AO34" s="12" t="s">
        <v>175</v>
      </c>
      <c r="AP34" s="12" t="str">
        <f>IFERROR(VLOOKUP(AN34,JUL!$K$23:$M$38,3,FALSE),"")</f>
        <v/>
      </c>
    </row>
    <row r="35" spans="2:42" ht="14.25" customHeight="1">
      <c r="B35" s="15"/>
      <c r="C35" s="16"/>
      <c r="D35" s="17"/>
      <c r="F35" s="15"/>
      <c r="G35" s="16"/>
      <c r="H35" s="16"/>
      <c r="I35" s="17">
        <f>JUL!$G35-JUL!$H35</f>
        <v>0</v>
      </c>
      <c r="K35" s="15"/>
      <c r="L35" s="16"/>
      <c r="M35" s="16"/>
      <c r="N35" s="17">
        <f>JUL!$L35-JUL!$M35</f>
        <v>0</v>
      </c>
      <c r="P35" s="15"/>
      <c r="Q35" s="16"/>
      <c r="R35" s="16"/>
      <c r="S35" s="17">
        <f>JUL!$Q35-JUL!$R35</f>
        <v>0</v>
      </c>
      <c r="U35" s="15"/>
      <c r="V35" s="16"/>
      <c r="W35" s="16"/>
      <c r="X35" s="17">
        <f>JUL!$V35-JUL!$W35</f>
        <v>0</v>
      </c>
      <c r="AM35" s="12" t="str">
        <f t="shared" si="0"/>
        <v/>
      </c>
      <c r="AN35" s="12">
        <f t="shared" ref="AN35:AN49" si="6">P23</f>
        <v>0</v>
      </c>
      <c r="AO35" s="12" t="s">
        <v>175</v>
      </c>
      <c r="AP35" s="12" t="str">
        <f>IFERROR(VLOOKUP(AN35,JUL!$P$23:$R$38,3,FALSE),"")</f>
        <v/>
      </c>
    </row>
    <row r="36" spans="2:42" ht="14.25" customHeight="1">
      <c r="B36" s="15"/>
      <c r="C36" s="16"/>
      <c r="D36" s="17"/>
      <c r="F36" s="15"/>
      <c r="G36" s="16"/>
      <c r="H36" s="16"/>
      <c r="I36" s="17">
        <f>JUL!$G36-JUL!$H36</f>
        <v>0</v>
      </c>
      <c r="K36" s="15"/>
      <c r="L36" s="16"/>
      <c r="M36" s="16"/>
      <c r="N36" s="17">
        <f>JUL!$L36-JUL!$M36</f>
        <v>0</v>
      </c>
      <c r="P36" s="15"/>
      <c r="Q36" s="16"/>
      <c r="R36" s="16"/>
      <c r="S36" s="17">
        <f>JUL!$Q36-JUL!$R36</f>
        <v>0</v>
      </c>
      <c r="U36" s="15"/>
      <c r="V36" s="16"/>
      <c r="W36" s="16"/>
      <c r="X36" s="17">
        <f>JUL!$V36-JUL!$W36</f>
        <v>0</v>
      </c>
      <c r="AM36" s="12" t="str">
        <f t="shared" si="0"/>
        <v/>
      </c>
      <c r="AN36" s="12">
        <f t="shared" si="6"/>
        <v>0</v>
      </c>
      <c r="AO36" s="12" t="s">
        <v>175</v>
      </c>
      <c r="AP36" s="12" t="str">
        <f>IFERROR(VLOOKUP(AN36,JUL!$P$23:$R$38,3,FALSE),"")</f>
        <v/>
      </c>
    </row>
    <row r="37" spans="2:42" ht="14.25" customHeight="1">
      <c r="B37" s="15"/>
      <c r="C37" s="16"/>
      <c r="D37" s="17"/>
      <c r="F37" s="15"/>
      <c r="G37" s="16"/>
      <c r="H37" s="16"/>
      <c r="I37" s="17">
        <f>JUL!$G37-JUL!$H37</f>
        <v>0</v>
      </c>
      <c r="K37" s="15"/>
      <c r="L37" s="16"/>
      <c r="M37" s="16"/>
      <c r="N37" s="17">
        <f>JUL!$L37-JUL!$M37</f>
        <v>0</v>
      </c>
      <c r="P37" s="15"/>
      <c r="Q37" s="16"/>
      <c r="R37" s="16"/>
      <c r="S37" s="17">
        <f>JUL!$Q37-JUL!$R37</f>
        <v>0</v>
      </c>
      <c r="U37" s="15"/>
      <c r="V37" s="16"/>
      <c r="W37" s="16"/>
      <c r="X37" s="17">
        <f>JUL!$V37-JUL!$W37</f>
        <v>0</v>
      </c>
      <c r="AM37" s="12" t="str">
        <f t="shared" si="0"/>
        <v/>
      </c>
      <c r="AN37" s="12">
        <f t="shared" si="6"/>
        <v>0</v>
      </c>
      <c r="AO37" s="12" t="s">
        <v>175</v>
      </c>
      <c r="AP37" s="12" t="str">
        <f>IFERROR(VLOOKUP(AN37,JUL!$P$23:$R$38,3,FALSE),"")</f>
        <v/>
      </c>
    </row>
    <row r="38" spans="2:42" ht="14.25" customHeight="1">
      <c r="B38" s="18"/>
      <c r="C38" s="19"/>
      <c r="D38" s="20"/>
      <c r="F38" s="18"/>
      <c r="G38" s="19"/>
      <c r="H38" s="19"/>
      <c r="I38" s="20">
        <f>JUL!$G38-JUL!$H38</f>
        <v>0</v>
      </c>
      <c r="K38" s="18"/>
      <c r="L38" s="19"/>
      <c r="M38" s="19"/>
      <c r="N38" s="20">
        <f>JUL!$L38-JUL!$M38</f>
        <v>0</v>
      </c>
      <c r="P38" s="18"/>
      <c r="Q38" s="19"/>
      <c r="R38" s="19"/>
      <c r="S38" s="20">
        <f>JUL!$Q38-JUL!$R38</f>
        <v>0</v>
      </c>
      <c r="U38" s="18"/>
      <c r="V38" s="19"/>
      <c r="W38" s="19"/>
      <c r="X38" s="20">
        <f>JUL!$V38-JUL!$W38</f>
        <v>0</v>
      </c>
      <c r="AM38" s="12" t="str">
        <f t="shared" si="0"/>
        <v/>
      </c>
      <c r="AN38" s="12">
        <f t="shared" si="6"/>
        <v>0</v>
      </c>
      <c r="AO38" s="12" t="s">
        <v>175</v>
      </c>
      <c r="AP38" s="12" t="str">
        <f>IFERROR(VLOOKUP(AN38,JUL!$P$23:$R$38,3,FALSE),"")</f>
        <v/>
      </c>
    </row>
    <row r="39" spans="2:42" ht="14.25" customHeight="1">
      <c r="AM39" s="12" t="str">
        <f t="shared" si="0"/>
        <v/>
      </c>
      <c r="AN39" s="12">
        <f t="shared" si="6"/>
        <v>0</v>
      </c>
      <c r="AO39" s="12" t="s">
        <v>175</v>
      </c>
      <c r="AP39" s="12" t="str">
        <f>IFERROR(VLOOKUP(AN39,JUL!$P$23:$R$38,3,FALSE),"")</f>
        <v/>
      </c>
    </row>
    <row r="40" spans="2:42" ht="14.25" customHeight="1">
      <c r="AM40" s="12" t="str">
        <f t="shared" si="0"/>
        <v/>
      </c>
      <c r="AN40" s="12">
        <f t="shared" si="6"/>
        <v>0</v>
      </c>
      <c r="AO40" s="12" t="s">
        <v>175</v>
      </c>
      <c r="AP40" s="12" t="str">
        <f>IFERROR(VLOOKUP(AN40,JUL!$P$23:$R$38,3,FALSE),"")</f>
        <v/>
      </c>
    </row>
    <row r="41" spans="2:42" ht="14.25" customHeight="1">
      <c r="AM41" s="12" t="str">
        <f t="shared" si="0"/>
        <v/>
      </c>
      <c r="AN41" s="12">
        <f t="shared" si="6"/>
        <v>0</v>
      </c>
      <c r="AO41" s="12" t="s">
        <v>175</v>
      </c>
      <c r="AP41" s="12" t="str">
        <f>IFERROR(VLOOKUP(AN41,JUL!$P$23:$R$38,3,FALSE),"")</f>
        <v/>
      </c>
    </row>
    <row r="42" spans="2:42" ht="14.25" customHeight="1">
      <c r="AM42" s="12" t="str">
        <f t="shared" si="0"/>
        <v/>
      </c>
      <c r="AN42" s="12">
        <f t="shared" si="6"/>
        <v>0</v>
      </c>
      <c r="AO42" s="12" t="s">
        <v>175</v>
      </c>
      <c r="AP42" s="12" t="str">
        <f>IFERROR(VLOOKUP(AN42,JUL!$P$23:$R$38,3,FALSE),"")</f>
        <v/>
      </c>
    </row>
    <row r="43" spans="2:42" ht="14.25" customHeight="1">
      <c r="AM43" s="12" t="str">
        <f t="shared" si="0"/>
        <v/>
      </c>
      <c r="AN43" s="12">
        <f t="shared" si="6"/>
        <v>0</v>
      </c>
      <c r="AO43" s="12" t="s">
        <v>175</v>
      </c>
      <c r="AP43" s="12" t="str">
        <f>IFERROR(VLOOKUP(AN43,JUL!$P$23:$R$38,3,FALSE),"")</f>
        <v/>
      </c>
    </row>
    <row r="44" spans="2:42" ht="14.25" customHeight="1">
      <c r="AM44" s="12" t="str">
        <f t="shared" si="0"/>
        <v/>
      </c>
      <c r="AN44" s="12">
        <f t="shared" si="6"/>
        <v>0</v>
      </c>
      <c r="AO44" s="12" t="s">
        <v>175</v>
      </c>
      <c r="AP44" s="12" t="str">
        <f>IFERROR(VLOOKUP(AN44,JUL!$P$23:$R$38,3,FALSE),"")</f>
        <v/>
      </c>
    </row>
    <row r="45" spans="2:42" ht="14.25" customHeight="1">
      <c r="AM45" s="12" t="str">
        <f t="shared" si="0"/>
        <v/>
      </c>
      <c r="AN45" s="12">
        <f t="shared" si="6"/>
        <v>0</v>
      </c>
      <c r="AO45" s="12" t="s">
        <v>175</v>
      </c>
      <c r="AP45" s="12" t="str">
        <f>IFERROR(VLOOKUP(AN45,JUL!$P$23:$R$38,3,FALSE),"")</f>
        <v/>
      </c>
    </row>
    <row r="46" spans="2:42" ht="14.25" customHeight="1">
      <c r="AM46" s="12" t="str">
        <f t="shared" si="0"/>
        <v/>
      </c>
      <c r="AN46" s="12">
        <f t="shared" si="6"/>
        <v>0</v>
      </c>
      <c r="AO46" s="12" t="s">
        <v>175</v>
      </c>
      <c r="AP46" s="12" t="str">
        <f>IFERROR(VLOOKUP(AN46,JUL!$P$23:$R$38,3,FALSE),"")</f>
        <v/>
      </c>
    </row>
    <row r="47" spans="2:42" ht="14.25" customHeight="1">
      <c r="AM47" s="12" t="str">
        <f t="shared" si="0"/>
        <v/>
      </c>
      <c r="AN47" s="12">
        <f t="shared" si="6"/>
        <v>0</v>
      </c>
      <c r="AO47" s="12" t="s">
        <v>175</v>
      </c>
      <c r="AP47" s="12" t="str">
        <f>IFERROR(VLOOKUP(AN47,JUL!$P$23:$R$38,3,FALSE),"")</f>
        <v/>
      </c>
    </row>
    <row r="48" spans="2:42" ht="14.25" customHeight="1">
      <c r="AM48" s="12" t="str">
        <f t="shared" si="0"/>
        <v/>
      </c>
      <c r="AN48" s="12">
        <f t="shared" si="6"/>
        <v>0</v>
      </c>
      <c r="AO48" s="12" t="s">
        <v>175</v>
      </c>
      <c r="AP48" s="12" t="str">
        <f>IFERROR(VLOOKUP(AN48,JUL!$P$23:$R$38,3,FALSE),"")</f>
        <v/>
      </c>
    </row>
    <row r="49" spans="39:42" ht="14.25" customHeight="1">
      <c r="AM49" s="12" t="str">
        <f t="shared" si="0"/>
        <v/>
      </c>
      <c r="AN49" s="12">
        <f t="shared" si="6"/>
        <v>0</v>
      </c>
      <c r="AO49" s="12" t="s">
        <v>161</v>
      </c>
      <c r="AP49" s="12" t="str">
        <f>IFERROR(VLOOKUP(AN49,JUL!$P$23:$R$38,3,FALSE),"")</f>
        <v/>
      </c>
    </row>
    <row r="50" spans="39:42" ht="14.25" customHeight="1">
      <c r="AM50" s="12" t="str">
        <f t="shared" si="0"/>
        <v/>
      </c>
      <c r="AN50" s="12">
        <f t="shared" ref="AN50:AN65" si="7">U23</f>
        <v>0</v>
      </c>
      <c r="AO50" s="12" t="s">
        <v>161</v>
      </c>
      <c r="AP50" s="12" t="str">
        <f>IFERROR(VLOOKUP(AN50,JUL!$U$23:$W$38,3,FALSE),"")</f>
        <v/>
      </c>
    </row>
    <row r="51" spans="39:42" ht="14.25" customHeight="1">
      <c r="AM51" s="12" t="str">
        <f t="shared" si="0"/>
        <v/>
      </c>
      <c r="AN51" s="12">
        <f t="shared" si="7"/>
        <v>0</v>
      </c>
      <c r="AO51" s="12" t="s">
        <v>161</v>
      </c>
      <c r="AP51" s="12" t="str">
        <f>IFERROR(VLOOKUP(AN51,JUL!$U$23:$W$38,3,FALSE),"")</f>
        <v/>
      </c>
    </row>
    <row r="52" spans="39:42" ht="14.25" customHeight="1">
      <c r="AM52" s="12" t="str">
        <f t="shared" si="0"/>
        <v/>
      </c>
      <c r="AN52" s="12">
        <f t="shared" si="7"/>
        <v>0</v>
      </c>
      <c r="AO52" s="12" t="s">
        <v>161</v>
      </c>
      <c r="AP52" s="12" t="str">
        <f>IFERROR(VLOOKUP(AN52,JUL!$U$23:$W$38,3,FALSE),"")</f>
        <v/>
      </c>
    </row>
    <row r="53" spans="39:42" ht="14.25" customHeight="1">
      <c r="AM53" s="12" t="str">
        <f t="shared" si="0"/>
        <v/>
      </c>
      <c r="AN53" s="12">
        <f t="shared" si="7"/>
        <v>0</v>
      </c>
      <c r="AO53" s="12" t="s">
        <v>161</v>
      </c>
      <c r="AP53" s="12" t="str">
        <f>IFERROR(VLOOKUP(AN53,JUL!$U$23:$W$38,3,FALSE),"")</f>
        <v/>
      </c>
    </row>
    <row r="54" spans="39:42" ht="14.25" customHeight="1">
      <c r="AM54" s="12" t="str">
        <f t="shared" si="0"/>
        <v/>
      </c>
      <c r="AN54" s="12">
        <f t="shared" si="7"/>
        <v>0</v>
      </c>
      <c r="AO54" s="12" t="s">
        <v>161</v>
      </c>
      <c r="AP54" s="12" t="str">
        <f>IFERROR(VLOOKUP(AN54,JUL!$U$23:$W$38,3,FALSE),"")</f>
        <v/>
      </c>
    </row>
    <row r="55" spans="39:42" ht="14.25" customHeight="1">
      <c r="AM55" s="12" t="str">
        <f t="shared" si="0"/>
        <v/>
      </c>
      <c r="AN55" s="12">
        <f t="shared" si="7"/>
        <v>0</v>
      </c>
      <c r="AO55" s="12" t="s">
        <v>161</v>
      </c>
      <c r="AP55" s="12" t="str">
        <f>IFERROR(VLOOKUP(AN55,JUL!$U$23:$W$38,3,FALSE),"")</f>
        <v/>
      </c>
    </row>
    <row r="56" spans="39:42" ht="14.25" customHeight="1">
      <c r="AM56" s="12" t="str">
        <f t="shared" si="0"/>
        <v/>
      </c>
      <c r="AN56" s="12">
        <f t="shared" si="7"/>
        <v>0</v>
      </c>
      <c r="AO56" s="12" t="s">
        <v>161</v>
      </c>
      <c r="AP56" s="12" t="str">
        <f>IFERROR(VLOOKUP(AN56,JUL!$U$23:$W$38,3,FALSE),"")</f>
        <v/>
      </c>
    </row>
    <row r="57" spans="39:42" ht="14.25" customHeight="1">
      <c r="AM57" s="12" t="str">
        <f t="shared" si="0"/>
        <v/>
      </c>
      <c r="AN57" s="12">
        <f t="shared" si="7"/>
        <v>0</v>
      </c>
      <c r="AO57" s="12" t="s">
        <v>161</v>
      </c>
      <c r="AP57" s="12" t="str">
        <f>IFERROR(VLOOKUP(AN57,JUL!$U$23:$W$38,3,FALSE),"")</f>
        <v/>
      </c>
    </row>
    <row r="58" spans="39:42" ht="14.25" customHeight="1">
      <c r="AM58" s="12" t="str">
        <f t="shared" si="0"/>
        <v/>
      </c>
      <c r="AN58" s="12">
        <f t="shared" si="7"/>
        <v>0</v>
      </c>
      <c r="AO58" s="12" t="s">
        <v>161</v>
      </c>
      <c r="AP58" s="12" t="str">
        <f>IFERROR(VLOOKUP(AN58,JUL!$U$23:$W$38,3,FALSE),"")</f>
        <v/>
      </c>
    </row>
    <row r="59" spans="39:42" ht="14.25" customHeight="1">
      <c r="AM59" s="12" t="str">
        <f t="shared" si="0"/>
        <v/>
      </c>
      <c r="AN59" s="12">
        <f t="shared" si="7"/>
        <v>0</v>
      </c>
      <c r="AO59" s="12" t="s">
        <v>161</v>
      </c>
      <c r="AP59" s="12" t="str">
        <f>IFERROR(VLOOKUP(AN59,JUL!$U$23:$W$38,3,FALSE),"")</f>
        <v/>
      </c>
    </row>
    <row r="60" spans="39:42" ht="14.25" customHeight="1">
      <c r="AM60" s="12" t="str">
        <f t="shared" si="0"/>
        <v/>
      </c>
      <c r="AN60" s="12">
        <f t="shared" si="7"/>
        <v>0</v>
      </c>
      <c r="AO60" s="12" t="s">
        <v>161</v>
      </c>
      <c r="AP60" s="12" t="str">
        <f>IFERROR(VLOOKUP(AN60,JUL!$U$23:$W$38,3,FALSE),"")</f>
        <v/>
      </c>
    </row>
    <row r="61" spans="39:42" ht="14.25" customHeight="1">
      <c r="AM61" s="12" t="str">
        <f t="shared" si="0"/>
        <v/>
      </c>
      <c r="AN61" s="12">
        <f t="shared" si="7"/>
        <v>0</v>
      </c>
      <c r="AO61" s="12" t="s">
        <v>161</v>
      </c>
      <c r="AP61" s="12" t="str">
        <f>IFERROR(VLOOKUP(AN61,JUL!$U$23:$W$38,3,FALSE),"")</f>
        <v/>
      </c>
    </row>
    <row r="62" spans="39:42" ht="14.25" customHeight="1">
      <c r="AM62" s="12" t="str">
        <f t="shared" si="0"/>
        <v/>
      </c>
      <c r="AN62" s="12">
        <f t="shared" si="7"/>
        <v>0</v>
      </c>
      <c r="AO62" s="12" t="s">
        <v>161</v>
      </c>
      <c r="AP62" s="12" t="str">
        <f>IFERROR(VLOOKUP(AN62,JUL!$U$23:$W$38,3,FALSE),"")</f>
        <v/>
      </c>
    </row>
    <row r="63" spans="39:42" ht="14.25" customHeight="1">
      <c r="AM63" s="12" t="str">
        <f t="shared" si="0"/>
        <v/>
      </c>
      <c r="AN63" s="12">
        <f t="shared" si="7"/>
        <v>0</v>
      </c>
      <c r="AO63" s="12" t="s">
        <v>161</v>
      </c>
      <c r="AP63" s="12" t="str">
        <f>IFERROR(VLOOKUP(AN63,JUL!$U$23:$W$38,3,FALSE),"")</f>
        <v/>
      </c>
    </row>
    <row r="64" spans="39:42" ht="14.25" customHeight="1">
      <c r="AM64" s="12" t="str">
        <f t="shared" si="0"/>
        <v/>
      </c>
      <c r="AN64" s="12">
        <f t="shared" si="7"/>
        <v>0</v>
      </c>
      <c r="AO64" s="12" t="s">
        <v>161</v>
      </c>
      <c r="AP64" s="12" t="str">
        <f>IFERROR(VLOOKUP(AN64,JUL!$U$23:$W$38,3,FALSE),"")</f>
        <v/>
      </c>
    </row>
    <row r="65" spans="39:42" ht="14.25" customHeight="1">
      <c r="AM65" s="12" t="str">
        <f t="shared" si="0"/>
        <v/>
      </c>
      <c r="AN65" s="12">
        <f t="shared" si="7"/>
        <v>0</v>
      </c>
      <c r="AO65" s="12" t="s">
        <v>161</v>
      </c>
      <c r="AP65" s="12" t="str">
        <f>IFERROR(VLOOKUP(AN65,JUL!$U$23:$W$38,3,FALSE),"")</f>
        <v/>
      </c>
    </row>
    <row r="66" spans="39:42" ht="14.25" customHeight="1"/>
    <row r="67" spans="39:42" ht="14.25" customHeight="1"/>
    <row r="68" spans="39:42" ht="14.25" customHeight="1"/>
    <row r="69" spans="39:42" ht="14.25" customHeight="1"/>
    <row r="70" spans="39:42" ht="14.25" customHeight="1"/>
    <row r="71" spans="39:42" ht="14.25" customHeight="1"/>
    <row r="72" spans="39:42" ht="14.25" customHeight="1"/>
    <row r="73" spans="39:42" ht="14.25" customHeight="1"/>
    <row r="74" spans="39:42" ht="14.25" customHeight="1"/>
    <row r="75" spans="39:42" ht="14.25" customHeight="1"/>
    <row r="76" spans="39:42" ht="14.25" customHeight="1"/>
    <row r="77" spans="39:42" ht="14.25" customHeight="1"/>
    <row r="78" spans="39:42" ht="14.25" customHeight="1"/>
    <row r="79" spans="39:42" ht="14.25" customHeight="1"/>
    <row r="80" spans="39:4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N2:AP65" xr:uid="{00000000-0009-0000-0000-000007000000}"/>
  <mergeCells count="18">
    <mergeCell ref="B2:D4"/>
    <mergeCell ref="F2:H3"/>
    <mergeCell ref="J2:L3"/>
    <mergeCell ref="R2:T3"/>
    <mergeCell ref="F4:H5"/>
    <mergeCell ref="J4:L5"/>
    <mergeCell ref="R4:T5"/>
    <mergeCell ref="B5:D5"/>
    <mergeCell ref="B7:D9"/>
    <mergeCell ref="B20:D21"/>
    <mergeCell ref="F20:I21"/>
    <mergeCell ref="K20:N21"/>
    <mergeCell ref="N2:P3"/>
    <mergeCell ref="N4:P5"/>
    <mergeCell ref="V2:X3"/>
    <mergeCell ref="V4:X5"/>
    <mergeCell ref="U20:X21"/>
    <mergeCell ref="P20:S21"/>
  </mergeCells>
  <pageMargins left="0.7" right="0.7" top="0.75" bottom="0.75" header="0" footer="0"/>
  <pageSetup orientation="landscape"/>
  <drawing r:id="rId1"/>
  <tableParts count="5">
    <tablePart r:id="rId2"/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700-000000000000}">
          <x14:formula1>
            <xm:f>lists!$D$2:$D$21</xm:f>
          </x14:formula1>
          <xm:sqref>P23:P38</xm:sqref>
        </x14:dataValidation>
        <x14:dataValidation type="list" allowBlank="1" showErrorMessage="1" xr:uid="{00000000-0002-0000-0700-000001000000}">
          <x14:formula1>
            <xm:f>lists!$A$2:$A$35</xm:f>
          </x14:formula1>
          <xm:sqref>B23:B38</xm:sqref>
        </x14:dataValidation>
        <x14:dataValidation type="list" allowBlank="1" showErrorMessage="1" xr:uid="{00000000-0002-0000-0700-000002000000}">
          <x14:formula1>
            <xm:f>lists!$B$2:$B$24</xm:f>
          </x14:formula1>
          <xm:sqref>F23:F38</xm:sqref>
        </x14:dataValidation>
        <x14:dataValidation type="list" allowBlank="1" showErrorMessage="1" xr:uid="{00000000-0002-0000-0700-000003000000}">
          <x14:formula1>
            <xm:f>lists!$E$2:$E$25</xm:f>
          </x14:formula1>
          <xm:sqref>U23:U38</xm:sqref>
        </x14:dataValidation>
        <x14:dataValidation type="list" allowBlank="1" showErrorMessage="1" xr:uid="{00000000-0002-0000-0700-000004000000}">
          <x14:formula1>
            <xm:f>lists!$C$2:$C$32</xm:f>
          </x14:formula1>
          <xm:sqref>K23:K38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B1:AP1000"/>
  <sheetViews>
    <sheetView workbookViewId="0"/>
  </sheetViews>
  <sheetFormatPr defaultColWidth="14.3984375" defaultRowHeight="15" customHeight="1"/>
  <cols>
    <col min="1" max="1" width="3.3984375" customWidth="1"/>
    <col min="2" max="2" width="14.265625" customWidth="1"/>
    <col min="3" max="3" width="14.3984375" customWidth="1"/>
    <col min="4" max="4" width="15.3984375" customWidth="1"/>
    <col min="5" max="5" width="4.3984375" customWidth="1"/>
    <col min="6" max="6" width="12.1328125" customWidth="1"/>
    <col min="7" max="8" width="12.73046875" customWidth="1"/>
    <col min="9" max="9" width="11.73046875" customWidth="1"/>
    <col min="10" max="10" width="8.73046875" customWidth="1"/>
    <col min="11" max="11" width="10.1328125" customWidth="1"/>
    <col min="12" max="13" width="11.86328125" customWidth="1"/>
    <col min="14" max="14" width="11.73046875" customWidth="1"/>
    <col min="15" max="15" width="8.73046875" customWidth="1"/>
    <col min="16" max="16" width="13.86328125" customWidth="1"/>
    <col min="17" max="18" width="11.86328125" customWidth="1"/>
    <col min="19" max="19" width="11.73046875" customWidth="1"/>
    <col min="20" max="20" width="8.73046875" customWidth="1"/>
    <col min="21" max="21" width="16.265625" customWidth="1"/>
    <col min="22" max="22" width="13" customWidth="1"/>
    <col min="23" max="23" width="17.1328125" customWidth="1"/>
    <col min="24" max="24" width="13.86328125" customWidth="1"/>
    <col min="25" max="37" width="8.73046875" customWidth="1"/>
    <col min="38" max="39" width="8.73046875" hidden="1" customWidth="1"/>
    <col min="40" max="40" width="17.53125" hidden="1" customWidth="1"/>
    <col min="41" max="41" width="12.3984375" hidden="1" customWidth="1"/>
    <col min="42" max="42" width="14.86328125" hidden="1" customWidth="1"/>
  </cols>
  <sheetData>
    <row r="1" spans="2:42" ht="14.25" customHeight="1"/>
    <row r="2" spans="2:42" ht="19.5" customHeight="1">
      <c r="B2" s="50" t="s">
        <v>181</v>
      </c>
      <c r="C2" s="30"/>
      <c r="D2" s="25"/>
      <c r="F2" s="29" t="s">
        <v>157</v>
      </c>
      <c r="G2" s="30"/>
      <c r="H2" s="25"/>
      <c r="J2" s="29" t="s">
        <v>158</v>
      </c>
      <c r="K2" s="30"/>
      <c r="L2" s="25"/>
      <c r="N2" s="29" t="s">
        <v>159</v>
      </c>
      <c r="O2" s="30"/>
      <c r="P2" s="25"/>
      <c r="R2" s="49" t="s">
        <v>160</v>
      </c>
      <c r="S2" s="30"/>
      <c r="T2" s="25"/>
      <c r="V2" s="33" t="s">
        <v>161</v>
      </c>
      <c r="W2" s="30"/>
      <c r="X2" s="25"/>
      <c r="AM2" s="11" t="s">
        <v>162</v>
      </c>
      <c r="AN2" s="11" t="s">
        <v>163</v>
      </c>
      <c r="AO2" s="11" t="s">
        <v>164</v>
      </c>
      <c r="AP2" s="11" t="s">
        <v>165</v>
      </c>
    </row>
    <row r="3" spans="2:42" ht="19.5" customHeight="1">
      <c r="B3" s="51"/>
      <c r="C3" s="45"/>
      <c r="D3" s="52"/>
      <c r="F3" s="26"/>
      <c r="G3" s="31"/>
      <c r="H3" s="27"/>
      <c r="J3" s="26"/>
      <c r="K3" s="31"/>
      <c r="L3" s="27"/>
      <c r="N3" s="26"/>
      <c r="O3" s="31"/>
      <c r="P3" s="27"/>
      <c r="R3" s="26"/>
      <c r="S3" s="31"/>
      <c r="T3" s="27"/>
      <c r="V3" s="26"/>
      <c r="W3" s="31"/>
      <c r="X3" s="27"/>
      <c r="AM3" s="12" t="str">
        <f t="shared" ref="AM3:AM65" si="0">IFERROR(_xlfn.RANK.EQ(AP3, $AP$3:$AP$150)+ COUNTIFS($AP$3:AP3, AP3) - 1,"")</f>
        <v/>
      </c>
      <c r="AN3" s="12">
        <f t="shared" ref="AN3:AN18" si="1">F23</f>
        <v>0</v>
      </c>
      <c r="AO3" s="12" t="s">
        <v>158</v>
      </c>
      <c r="AP3" s="12" t="str">
        <f>IFERROR(VLOOKUP(AN3,MAR!$F$23:$H$38,3,FALSE),"")</f>
        <v/>
      </c>
    </row>
    <row r="4" spans="2:42" ht="19.5" customHeight="1">
      <c r="B4" s="35"/>
      <c r="C4" s="36"/>
      <c r="D4" s="37"/>
      <c r="F4" s="32">
        <f>SUM(MAR!$D$23:$D$38)</f>
        <v>0</v>
      </c>
      <c r="G4" s="30"/>
      <c r="H4" s="25"/>
      <c r="J4" s="32">
        <f>SUM(MAR!$H$23:$H$38)</f>
        <v>0</v>
      </c>
      <c r="K4" s="30"/>
      <c r="L4" s="25"/>
      <c r="N4" s="32">
        <f>SUM(MAR!$M$23:$M$38)</f>
        <v>0</v>
      </c>
      <c r="O4" s="30"/>
      <c r="P4" s="25"/>
      <c r="R4" s="32">
        <f>SUM(MAR!$R$23:$R$38)</f>
        <v>0</v>
      </c>
      <c r="S4" s="30"/>
      <c r="T4" s="25"/>
      <c r="V4" s="32">
        <f>SUM(MAR!$W$23:$W$38)</f>
        <v>0</v>
      </c>
      <c r="W4" s="30"/>
      <c r="X4" s="25"/>
      <c r="AM4" s="12" t="str">
        <f t="shared" si="0"/>
        <v/>
      </c>
      <c r="AN4" s="12">
        <f t="shared" si="1"/>
        <v>0</v>
      </c>
      <c r="AO4" s="12" t="s">
        <v>158</v>
      </c>
      <c r="AP4" s="12" t="str">
        <f>IFERROR(VLOOKUP(AN4,MAR!$F$23:$H$38,3,FALSE),"")</f>
        <v/>
      </c>
    </row>
    <row r="5" spans="2:42" ht="21.75" customHeight="1">
      <c r="B5" s="38" t="s">
        <v>166</v>
      </c>
      <c r="C5" s="39"/>
      <c r="D5" s="40"/>
      <c r="F5" s="26"/>
      <c r="G5" s="31"/>
      <c r="H5" s="27"/>
      <c r="J5" s="26"/>
      <c r="K5" s="31"/>
      <c r="L5" s="27"/>
      <c r="N5" s="26"/>
      <c r="O5" s="31"/>
      <c r="P5" s="27"/>
      <c r="R5" s="26"/>
      <c r="S5" s="31"/>
      <c r="T5" s="27"/>
      <c r="V5" s="26"/>
      <c r="W5" s="31"/>
      <c r="X5" s="27"/>
      <c r="AM5" s="12" t="str">
        <f t="shared" si="0"/>
        <v/>
      </c>
      <c r="AN5" s="12">
        <f t="shared" si="1"/>
        <v>0</v>
      </c>
      <c r="AO5" s="12" t="s">
        <v>158</v>
      </c>
      <c r="AP5" s="12" t="str">
        <f>IFERROR(VLOOKUP(AN5,MAR!$F$23:$H$38,3,FALSE),"")</f>
        <v/>
      </c>
    </row>
    <row r="6" spans="2:42" ht="14.25" customHeight="1">
      <c r="AM6" s="12" t="str">
        <f t="shared" si="0"/>
        <v/>
      </c>
      <c r="AN6" s="12">
        <f t="shared" si="1"/>
        <v>0</v>
      </c>
      <c r="AO6" s="12" t="s">
        <v>158</v>
      </c>
      <c r="AP6" s="12" t="str">
        <f>IFERROR(VLOOKUP(AN6,MAR!$F$23:$H$38,3,FALSE),"")</f>
        <v/>
      </c>
    </row>
    <row r="7" spans="2:42" ht="13.5" customHeight="1">
      <c r="B7" s="41" t="s">
        <v>167</v>
      </c>
      <c r="C7" s="42"/>
      <c r="D7" s="43"/>
      <c r="V7" s="13" t="s">
        <v>168</v>
      </c>
      <c r="W7" s="13" t="s">
        <v>163</v>
      </c>
      <c r="X7" s="13" t="s">
        <v>169</v>
      </c>
      <c r="AM7" s="12" t="str">
        <f t="shared" si="0"/>
        <v/>
      </c>
      <c r="AN7" s="12">
        <f t="shared" si="1"/>
        <v>0</v>
      </c>
      <c r="AO7" s="12" t="s">
        <v>158</v>
      </c>
      <c r="AP7" s="12" t="str">
        <f>IFERROR(VLOOKUP(AN7,MAR!$F$23:$H$38,3,FALSE),"")</f>
        <v/>
      </c>
    </row>
    <row r="8" spans="2:42" ht="13.5" customHeight="1">
      <c r="B8" s="44"/>
      <c r="C8" s="45"/>
      <c r="D8" s="46"/>
      <c r="V8" s="12">
        <v>1</v>
      </c>
      <c r="W8" s="12" t="str">
        <f t="shared" ref="W8:W18" si="2">IFERROR(VLOOKUP(V8,$AM$3:$AP$65,2,FALSE),"")</f>
        <v/>
      </c>
      <c r="X8" s="12" t="str">
        <f t="shared" ref="X8:X18" si="3">IFERROR(VLOOKUP(V8,$AM$3:$AP$65,4,FALSE),"")</f>
        <v/>
      </c>
      <c r="AM8" s="12" t="str">
        <f t="shared" si="0"/>
        <v/>
      </c>
      <c r="AN8" s="12">
        <f t="shared" si="1"/>
        <v>0</v>
      </c>
      <c r="AO8" s="12" t="s">
        <v>158</v>
      </c>
      <c r="AP8" s="12" t="str">
        <f>IFERROR(VLOOKUP(AN8,MAR!$F$23:$H$38,3,FALSE),"")</f>
        <v/>
      </c>
    </row>
    <row r="9" spans="2:42" ht="13.5" customHeight="1">
      <c r="B9" s="47"/>
      <c r="C9" s="31"/>
      <c r="D9" s="48"/>
      <c r="V9" s="12">
        <v>2</v>
      </c>
      <c r="W9" s="12" t="str">
        <f t="shared" si="2"/>
        <v/>
      </c>
      <c r="X9" s="12" t="str">
        <f t="shared" si="3"/>
        <v/>
      </c>
      <c r="AM9" s="12" t="str">
        <f t="shared" si="0"/>
        <v/>
      </c>
      <c r="AN9" s="12">
        <f t="shared" si="1"/>
        <v>0</v>
      </c>
      <c r="AO9" s="12" t="s">
        <v>158</v>
      </c>
      <c r="AP9" s="12" t="str">
        <f>IFERROR(VLOOKUP(AN9,MAR!$F$23:$H$38,3,FALSE),"")</f>
        <v/>
      </c>
    </row>
    <row r="10" spans="2:42" ht="13.5" customHeight="1">
      <c r="B10" s="14"/>
      <c r="C10" s="14" t="s">
        <v>170</v>
      </c>
      <c r="D10" s="14" t="s">
        <v>171</v>
      </c>
      <c r="V10" s="12">
        <v>3</v>
      </c>
      <c r="W10" s="12" t="str">
        <f t="shared" si="2"/>
        <v/>
      </c>
      <c r="X10" s="12" t="str">
        <f t="shared" si="3"/>
        <v/>
      </c>
      <c r="AM10" s="12" t="str">
        <f t="shared" si="0"/>
        <v/>
      </c>
      <c r="AN10" s="12">
        <f t="shared" si="1"/>
        <v>0</v>
      </c>
      <c r="AO10" s="12" t="s">
        <v>158</v>
      </c>
      <c r="AP10" s="12" t="str">
        <f>IFERROR(VLOOKUP(AN10,MAR!$F$23:$H$38,3,FALSE),"")</f>
        <v/>
      </c>
    </row>
    <row r="11" spans="2:42" ht="13.5" customHeight="1">
      <c r="B11" s="15" t="s">
        <v>157</v>
      </c>
      <c r="C11" s="16">
        <f>SUM(MAR!$C$23:$C$38)</f>
        <v>0</v>
      </c>
      <c r="D11" s="17">
        <f>SUM(MAR!$D$23:$D$38)</f>
        <v>0</v>
      </c>
      <c r="V11" s="12">
        <v>4</v>
      </c>
      <c r="W11" s="12" t="str">
        <f t="shared" si="2"/>
        <v/>
      </c>
      <c r="X11" s="12" t="str">
        <f t="shared" si="3"/>
        <v/>
      </c>
      <c r="AM11" s="12" t="str">
        <f t="shared" si="0"/>
        <v/>
      </c>
      <c r="AN11" s="12">
        <f t="shared" si="1"/>
        <v>0</v>
      </c>
      <c r="AO11" s="12" t="s">
        <v>158</v>
      </c>
      <c r="AP11" s="12" t="str">
        <f>IFERROR(VLOOKUP(AN11,MAR!$F$23:$H$38,3,FALSE),"")</f>
        <v/>
      </c>
    </row>
    <row r="12" spans="2:42" ht="13.5" customHeight="1">
      <c r="B12" s="15" t="s">
        <v>158</v>
      </c>
      <c r="C12" s="16">
        <f>SUM(MAR!$G$23:$G$38)</f>
        <v>0</v>
      </c>
      <c r="D12" s="17">
        <f>SUM(MAR!$H$23:$H$38)</f>
        <v>0</v>
      </c>
      <c r="V12" s="12">
        <v>5</v>
      </c>
      <c r="W12" s="12" t="str">
        <f t="shared" si="2"/>
        <v/>
      </c>
      <c r="X12" s="12" t="str">
        <f t="shared" si="3"/>
        <v/>
      </c>
      <c r="AM12" s="12" t="str">
        <f t="shared" si="0"/>
        <v/>
      </c>
      <c r="AN12" s="12">
        <f t="shared" si="1"/>
        <v>0</v>
      </c>
      <c r="AO12" s="12" t="s">
        <v>158</v>
      </c>
      <c r="AP12" s="12" t="str">
        <f>IFERROR(VLOOKUP(AN12,MAR!$F$23:$H$38,3,FALSE),"")</f>
        <v/>
      </c>
    </row>
    <row r="13" spans="2:42" ht="13.5" customHeight="1">
      <c r="B13" s="15" t="s">
        <v>159</v>
      </c>
      <c r="C13" s="16">
        <f>SUM(MAR!$L$23:$L$38)</f>
        <v>0</v>
      </c>
      <c r="D13" s="17">
        <f>SUM(MAR!$M$23:$M$38)</f>
        <v>0</v>
      </c>
      <c r="V13" s="12">
        <v>6</v>
      </c>
      <c r="W13" s="12" t="str">
        <f t="shared" si="2"/>
        <v/>
      </c>
      <c r="X13" s="12" t="str">
        <f t="shared" si="3"/>
        <v/>
      </c>
      <c r="AM13" s="12" t="str">
        <f t="shared" si="0"/>
        <v/>
      </c>
      <c r="AN13" s="12">
        <f t="shared" si="1"/>
        <v>0</v>
      </c>
      <c r="AO13" s="12" t="s">
        <v>158</v>
      </c>
      <c r="AP13" s="12" t="str">
        <f>IFERROR(VLOOKUP(AN13,MAR!$F$23:$H$38,3,FALSE),"")</f>
        <v/>
      </c>
    </row>
    <row r="14" spans="2:42" ht="13.5" customHeight="1">
      <c r="B14" s="15" t="s">
        <v>160</v>
      </c>
      <c r="C14" s="16">
        <f>SUM(MAR!$Q$23:$Q$38)</f>
        <v>0</v>
      </c>
      <c r="D14" s="17">
        <f>SUM(MAR!$R$23:$R$38)</f>
        <v>0</v>
      </c>
      <c r="V14" s="12">
        <v>7</v>
      </c>
      <c r="W14" s="12" t="str">
        <f t="shared" si="2"/>
        <v/>
      </c>
      <c r="X14" s="12" t="str">
        <f t="shared" si="3"/>
        <v/>
      </c>
      <c r="AM14" s="12" t="str">
        <f t="shared" si="0"/>
        <v/>
      </c>
      <c r="AN14" s="12">
        <f t="shared" si="1"/>
        <v>0</v>
      </c>
      <c r="AO14" s="12" t="s">
        <v>158</v>
      </c>
      <c r="AP14" s="12" t="str">
        <f>IFERROR(VLOOKUP(AN14,MAR!$F$23:$H$38,3,FALSE),"")</f>
        <v/>
      </c>
    </row>
    <row r="15" spans="2:42" ht="13.5" customHeight="1">
      <c r="B15" s="18" t="s">
        <v>161</v>
      </c>
      <c r="C15" s="19">
        <f>SUM(MAR!$V$23:$V$38)</f>
        <v>0</v>
      </c>
      <c r="D15" s="20">
        <f>SUM(MAR!$W$23:$W$38)</f>
        <v>0</v>
      </c>
      <c r="V15" s="12">
        <v>8</v>
      </c>
      <c r="W15" s="12" t="str">
        <f t="shared" si="2"/>
        <v/>
      </c>
      <c r="X15" s="12" t="str">
        <f t="shared" si="3"/>
        <v/>
      </c>
      <c r="AM15" s="12" t="str">
        <f t="shared" si="0"/>
        <v/>
      </c>
      <c r="AN15" s="12">
        <f t="shared" si="1"/>
        <v>0</v>
      </c>
      <c r="AO15" s="12" t="s">
        <v>158</v>
      </c>
      <c r="AP15" s="12" t="str">
        <f>IFERROR(VLOOKUP(AN15,MAR!$F$23:$H$38,3,FALSE),"")</f>
        <v/>
      </c>
    </row>
    <row r="16" spans="2:42" ht="13.5" customHeight="1">
      <c r="B16" s="21" t="s">
        <v>172</v>
      </c>
      <c r="C16" s="22">
        <f t="shared" ref="C16:D16" si="4">(C11-SUM(C12:C15))</f>
        <v>0</v>
      </c>
      <c r="D16" s="22">
        <f t="shared" si="4"/>
        <v>0</v>
      </c>
      <c r="V16" s="12">
        <v>9</v>
      </c>
      <c r="W16" s="12" t="str">
        <f t="shared" si="2"/>
        <v/>
      </c>
      <c r="X16" s="12" t="str">
        <f t="shared" si="3"/>
        <v/>
      </c>
      <c r="AM16" s="12" t="str">
        <f t="shared" si="0"/>
        <v/>
      </c>
      <c r="AN16" s="12">
        <f t="shared" si="1"/>
        <v>0</v>
      </c>
      <c r="AO16" s="12" t="s">
        <v>158</v>
      </c>
      <c r="AP16" s="12" t="str">
        <f>IFERROR(VLOOKUP(AN16,MAR!$F$23:$H$38,3,FALSE),"")</f>
        <v/>
      </c>
    </row>
    <row r="17" spans="2:42" ht="13.5" customHeight="1">
      <c r="C17" s="16"/>
      <c r="D17" s="16"/>
      <c r="V17" s="12">
        <v>10</v>
      </c>
      <c r="W17" s="12" t="str">
        <f t="shared" si="2"/>
        <v/>
      </c>
      <c r="X17" s="12" t="str">
        <f t="shared" si="3"/>
        <v/>
      </c>
      <c r="AM17" s="12" t="str">
        <f t="shared" si="0"/>
        <v/>
      </c>
      <c r="AN17" s="12">
        <f t="shared" si="1"/>
        <v>0</v>
      </c>
      <c r="AO17" s="12" t="s">
        <v>158</v>
      </c>
      <c r="AP17" s="12" t="str">
        <f>IFERROR(VLOOKUP(AN17,MAR!$F$23:$H$38,3,FALSE),"")</f>
        <v/>
      </c>
    </row>
    <row r="18" spans="2:42" ht="13.5" customHeight="1">
      <c r="V18" s="12">
        <v>11</v>
      </c>
      <c r="W18" s="12" t="str">
        <f t="shared" si="2"/>
        <v/>
      </c>
      <c r="X18" s="12" t="str">
        <f t="shared" si="3"/>
        <v/>
      </c>
      <c r="AM18" s="12" t="str">
        <f t="shared" si="0"/>
        <v/>
      </c>
      <c r="AN18" s="12">
        <f t="shared" si="1"/>
        <v>0</v>
      </c>
      <c r="AO18" s="12" t="s">
        <v>158</v>
      </c>
      <c r="AP18" s="12" t="str">
        <f>IFERROR(VLOOKUP(AN18,MAR!$F$23:$H$38,3,FALSE),"")</f>
        <v/>
      </c>
    </row>
    <row r="19" spans="2:42" ht="14.25" customHeight="1">
      <c r="AM19" s="12" t="str">
        <f t="shared" si="0"/>
        <v/>
      </c>
      <c r="AN19" s="12">
        <f t="shared" ref="AN19:AN34" si="5">K23</f>
        <v>0</v>
      </c>
      <c r="AO19" s="12" t="s">
        <v>159</v>
      </c>
      <c r="AP19" s="12" t="str">
        <f>IFERROR(VLOOKUP(AN19,MAR!$K$23:$M$38,3,FALSE),"")</f>
        <v/>
      </c>
    </row>
    <row r="20" spans="2:42" ht="14.25" customHeight="1">
      <c r="B20" s="29" t="s">
        <v>157</v>
      </c>
      <c r="C20" s="30"/>
      <c r="D20" s="25"/>
      <c r="F20" s="29" t="s">
        <v>158</v>
      </c>
      <c r="G20" s="30"/>
      <c r="H20" s="30"/>
      <c r="I20" s="25"/>
      <c r="K20" s="29" t="s">
        <v>159</v>
      </c>
      <c r="L20" s="30"/>
      <c r="M20" s="30"/>
      <c r="N20" s="25"/>
      <c r="P20" s="49" t="s">
        <v>160</v>
      </c>
      <c r="Q20" s="30"/>
      <c r="R20" s="30"/>
      <c r="S20" s="25"/>
      <c r="U20" s="34" t="s">
        <v>161</v>
      </c>
      <c r="V20" s="30"/>
      <c r="W20" s="30"/>
      <c r="X20" s="25"/>
      <c r="AM20" s="12" t="str">
        <f t="shared" si="0"/>
        <v/>
      </c>
      <c r="AN20" s="12">
        <f t="shared" si="5"/>
        <v>0</v>
      </c>
      <c r="AO20" s="12" t="s">
        <v>159</v>
      </c>
      <c r="AP20" s="12" t="str">
        <f>IFERROR(VLOOKUP(AN20,MAR!$K$23:$M$38,3,FALSE),"")</f>
        <v/>
      </c>
    </row>
    <row r="21" spans="2:42" ht="14.25" customHeight="1">
      <c r="B21" s="35"/>
      <c r="C21" s="36"/>
      <c r="D21" s="37"/>
      <c r="F21" s="35"/>
      <c r="G21" s="36"/>
      <c r="H21" s="36"/>
      <c r="I21" s="37"/>
      <c r="K21" s="35"/>
      <c r="L21" s="36"/>
      <c r="M21" s="36"/>
      <c r="N21" s="37"/>
      <c r="P21" s="35"/>
      <c r="Q21" s="36"/>
      <c r="R21" s="36"/>
      <c r="S21" s="37"/>
      <c r="U21" s="35"/>
      <c r="V21" s="36"/>
      <c r="W21" s="36"/>
      <c r="X21" s="37"/>
      <c r="AM21" s="12" t="str">
        <f t="shared" si="0"/>
        <v/>
      </c>
      <c r="AN21" s="12">
        <f t="shared" si="5"/>
        <v>0</v>
      </c>
      <c r="AO21" s="12" t="s">
        <v>159</v>
      </c>
      <c r="AP21" s="12" t="str">
        <f>IFERROR(VLOOKUP(AN21,MAR!$K$23:$M$38,3,FALSE),"")</f>
        <v/>
      </c>
    </row>
    <row r="22" spans="2:42" ht="14.25" customHeight="1">
      <c r="B22" s="15" t="s">
        <v>173</v>
      </c>
      <c r="C22" s="10" t="s">
        <v>170</v>
      </c>
      <c r="D22" s="23" t="s">
        <v>171</v>
      </c>
      <c r="F22" s="15" t="s">
        <v>173</v>
      </c>
      <c r="G22" s="10" t="s">
        <v>170</v>
      </c>
      <c r="H22" s="10" t="s">
        <v>171</v>
      </c>
      <c r="I22" s="23" t="s">
        <v>174</v>
      </c>
      <c r="K22" s="15" t="s">
        <v>173</v>
      </c>
      <c r="L22" s="10" t="s">
        <v>170</v>
      </c>
      <c r="M22" s="10" t="s">
        <v>171</v>
      </c>
      <c r="N22" s="23" t="s">
        <v>174</v>
      </c>
      <c r="P22" s="15" t="s">
        <v>173</v>
      </c>
      <c r="Q22" s="10" t="s">
        <v>170</v>
      </c>
      <c r="R22" s="10" t="s">
        <v>171</v>
      </c>
      <c r="S22" s="23" t="s">
        <v>174</v>
      </c>
      <c r="U22" s="15" t="s">
        <v>173</v>
      </c>
      <c r="V22" s="10" t="s">
        <v>170</v>
      </c>
      <c r="W22" s="10" t="s">
        <v>171</v>
      </c>
      <c r="X22" s="23" t="s">
        <v>174</v>
      </c>
      <c r="AM22" s="12" t="str">
        <f t="shared" si="0"/>
        <v/>
      </c>
      <c r="AN22" s="12">
        <f t="shared" si="5"/>
        <v>0</v>
      </c>
      <c r="AO22" s="12" t="s">
        <v>159</v>
      </c>
      <c r="AP22" s="12" t="str">
        <f>IFERROR(VLOOKUP(AN22,MAR!$K$23:$M$38,3,FALSE),"")</f>
        <v/>
      </c>
    </row>
    <row r="23" spans="2:42" ht="14.25" customHeight="1">
      <c r="B23" s="15"/>
      <c r="C23" s="16"/>
      <c r="D23" s="17"/>
      <c r="F23" s="15"/>
      <c r="G23" s="16"/>
      <c r="H23" s="16"/>
      <c r="I23" s="17">
        <f>MAR!$G23-MAR!$H23</f>
        <v>0</v>
      </c>
      <c r="K23" s="15"/>
      <c r="L23" s="16"/>
      <c r="M23" s="16"/>
      <c r="N23" s="17">
        <f>MAR!$L23-MAR!$M23</f>
        <v>0</v>
      </c>
      <c r="P23" s="15"/>
      <c r="Q23" s="16"/>
      <c r="R23" s="16"/>
      <c r="S23" s="17">
        <f>MAR!$Q23-MAR!$R23</f>
        <v>0</v>
      </c>
      <c r="U23" s="15"/>
      <c r="V23" s="16"/>
      <c r="W23" s="16"/>
      <c r="X23" s="17">
        <f>MAR!$V23-MAR!$W23</f>
        <v>0</v>
      </c>
      <c r="AM23" s="12" t="str">
        <f t="shared" si="0"/>
        <v/>
      </c>
      <c r="AN23" s="12">
        <f t="shared" si="5"/>
        <v>0</v>
      </c>
      <c r="AO23" s="12" t="s">
        <v>159</v>
      </c>
      <c r="AP23" s="12" t="str">
        <f>IFERROR(VLOOKUP(AN23,MAR!$K$23:$M$38,3,FALSE),"")</f>
        <v/>
      </c>
    </row>
    <row r="24" spans="2:42" ht="14.25" customHeight="1">
      <c r="B24" s="15"/>
      <c r="C24" s="16"/>
      <c r="D24" s="17"/>
      <c r="F24" s="15"/>
      <c r="G24" s="16"/>
      <c r="H24" s="16"/>
      <c r="I24" s="17">
        <f>MAR!$G24-MAR!$H24</f>
        <v>0</v>
      </c>
      <c r="K24" s="15"/>
      <c r="L24" s="16"/>
      <c r="M24" s="16"/>
      <c r="N24" s="17">
        <f>MAR!$L24-MAR!$M24</f>
        <v>0</v>
      </c>
      <c r="P24" s="15"/>
      <c r="Q24" s="16"/>
      <c r="R24" s="16"/>
      <c r="S24" s="17">
        <f>MAR!$Q24-MAR!$R24</f>
        <v>0</v>
      </c>
      <c r="U24" s="15"/>
      <c r="V24" s="16"/>
      <c r="W24" s="16"/>
      <c r="X24" s="17">
        <f>MAR!$V24-MAR!$W24</f>
        <v>0</v>
      </c>
      <c r="AM24" s="12" t="str">
        <f t="shared" si="0"/>
        <v/>
      </c>
      <c r="AN24" s="12">
        <f t="shared" si="5"/>
        <v>0</v>
      </c>
      <c r="AO24" s="12" t="s">
        <v>159</v>
      </c>
      <c r="AP24" s="12" t="str">
        <f>IFERROR(VLOOKUP(AN24,MAR!$K$23:$M$38,3,FALSE),"")</f>
        <v/>
      </c>
    </row>
    <row r="25" spans="2:42" ht="14.25" customHeight="1">
      <c r="B25" s="15"/>
      <c r="C25" s="16"/>
      <c r="D25" s="17"/>
      <c r="F25" s="15"/>
      <c r="G25" s="16"/>
      <c r="H25" s="16"/>
      <c r="I25" s="17">
        <f>MAR!$G25-MAR!$H25</f>
        <v>0</v>
      </c>
      <c r="K25" s="15"/>
      <c r="L25" s="16"/>
      <c r="M25" s="16"/>
      <c r="N25" s="17">
        <f>MAR!$L25-MAR!$M25</f>
        <v>0</v>
      </c>
      <c r="P25" s="15"/>
      <c r="Q25" s="16"/>
      <c r="R25" s="16"/>
      <c r="S25" s="17">
        <f>MAR!$Q25-MAR!$R25</f>
        <v>0</v>
      </c>
      <c r="U25" s="15"/>
      <c r="V25" s="16"/>
      <c r="W25" s="16"/>
      <c r="X25" s="17">
        <f>MAR!$V25-MAR!$W25</f>
        <v>0</v>
      </c>
      <c r="AM25" s="12" t="str">
        <f t="shared" si="0"/>
        <v/>
      </c>
      <c r="AN25" s="12">
        <f t="shared" si="5"/>
        <v>0</v>
      </c>
      <c r="AO25" s="12" t="s">
        <v>159</v>
      </c>
      <c r="AP25" s="12" t="str">
        <f>IFERROR(VLOOKUP(AN25,MAR!$K$23:$M$38,3,FALSE),"")</f>
        <v/>
      </c>
    </row>
    <row r="26" spans="2:42" ht="14.25" customHeight="1">
      <c r="B26" s="15"/>
      <c r="C26" s="16"/>
      <c r="D26" s="17"/>
      <c r="F26" s="15"/>
      <c r="G26" s="16"/>
      <c r="H26" s="16"/>
      <c r="I26" s="17">
        <f>MAR!$G26-MAR!$H26</f>
        <v>0</v>
      </c>
      <c r="K26" s="15"/>
      <c r="L26" s="16"/>
      <c r="M26" s="16"/>
      <c r="N26" s="17">
        <f>MAR!$L26-MAR!$M26</f>
        <v>0</v>
      </c>
      <c r="P26" s="15"/>
      <c r="Q26" s="16"/>
      <c r="R26" s="16"/>
      <c r="S26" s="17">
        <f>MAR!$Q26-MAR!$R26</f>
        <v>0</v>
      </c>
      <c r="U26" s="15"/>
      <c r="V26" s="16"/>
      <c r="W26" s="16"/>
      <c r="X26" s="17">
        <f>MAR!$V26-MAR!$W26</f>
        <v>0</v>
      </c>
      <c r="AM26" s="12" t="str">
        <f t="shared" si="0"/>
        <v/>
      </c>
      <c r="AN26" s="12">
        <f t="shared" si="5"/>
        <v>0</v>
      </c>
      <c r="AO26" s="12" t="s">
        <v>159</v>
      </c>
      <c r="AP26" s="12" t="str">
        <f>IFERROR(VLOOKUP(AN26,MAR!$K$23:$M$38,3,FALSE),"")</f>
        <v/>
      </c>
    </row>
    <row r="27" spans="2:42" ht="14.25" customHeight="1">
      <c r="B27" s="15"/>
      <c r="C27" s="16"/>
      <c r="D27" s="17"/>
      <c r="F27" s="15"/>
      <c r="G27" s="16"/>
      <c r="H27" s="16"/>
      <c r="I27" s="17">
        <f>MAR!$G27-MAR!$H27</f>
        <v>0</v>
      </c>
      <c r="K27" s="15"/>
      <c r="L27" s="16"/>
      <c r="M27" s="16"/>
      <c r="N27" s="17">
        <f>MAR!$L27-MAR!$M27</f>
        <v>0</v>
      </c>
      <c r="P27" s="15"/>
      <c r="Q27" s="16"/>
      <c r="R27" s="16"/>
      <c r="S27" s="17">
        <f>MAR!$Q27-MAR!$R27</f>
        <v>0</v>
      </c>
      <c r="U27" s="15"/>
      <c r="V27" s="16"/>
      <c r="W27" s="16"/>
      <c r="X27" s="17">
        <f>MAR!$V27-MAR!$W27</f>
        <v>0</v>
      </c>
      <c r="AM27" s="12" t="str">
        <f t="shared" si="0"/>
        <v/>
      </c>
      <c r="AN27" s="12">
        <f t="shared" si="5"/>
        <v>0</v>
      </c>
      <c r="AO27" s="12" t="s">
        <v>159</v>
      </c>
      <c r="AP27" s="12" t="str">
        <f>IFERROR(VLOOKUP(AN27,MAR!$K$23:$M$38,3,FALSE),"")</f>
        <v/>
      </c>
    </row>
    <row r="28" spans="2:42" ht="14.25" customHeight="1">
      <c r="B28" s="15"/>
      <c r="C28" s="16"/>
      <c r="D28" s="17"/>
      <c r="F28" s="15"/>
      <c r="G28" s="16"/>
      <c r="H28" s="16"/>
      <c r="I28" s="17">
        <f>MAR!$G28-MAR!$H28</f>
        <v>0</v>
      </c>
      <c r="K28" s="15"/>
      <c r="L28" s="16"/>
      <c r="M28" s="16"/>
      <c r="N28" s="17">
        <f>MAR!$L28-MAR!$M28</f>
        <v>0</v>
      </c>
      <c r="P28" s="15"/>
      <c r="Q28" s="16"/>
      <c r="R28" s="16"/>
      <c r="S28" s="17">
        <f>MAR!$Q28-MAR!$R28</f>
        <v>0</v>
      </c>
      <c r="U28" s="15"/>
      <c r="V28" s="16"/>
      <c r="W28" s="16"/>
      <c r="X28" s="17">
        <f>MAR!$V28-MAR!$W28</f>
        <v>0</v>
      </c>
      <c r="AM28" s="12" t="str">
        <f t="shared" si="0"/>
        <v/>
      </c>
      <c r="AN28" s="12">
        <f t="shared" si="5"/>
        <v>0</v>
      </c>
      <c r="AO28" s="12" t="s">
        <v>159</v>
      </c>
      <c r="AP28" s="12" t="str">
        <f>IFERROR(VLOOKUP(AN28,MAR!$K$23:$M$38,3,FALSE),"")</f>
        <v/>
      </c>
    </row>
    <row r="29" spans="2:42" ht="14.25" customHeight="1">
      <c r="B29" s="15"/>
      <c r="C29" s="16"/>
      <c r="D29" s="17"/>
      <c r="F29" s="15"/>
      <c r="G29" s="16"/>
      <c r="H29" s="16"/>
      <c r="I29" s="17">
        <f>MAR!$G29-MAR!$H29</f>
        <v>0</v>
      </c>
      <c r="K29" s="15"/>
      <c r="L29" s="16"/>
      <c r="M29" s="16"/>
      <c r="N29" s="17">
        <f>MAR!$L29-MAR!$M29</f>
        <v>0</v>
      </c>
      <c r="P29" s="15"/>
      <c r="Q29" s="16"/>
      <c r="R29" s="16"/>
      <c r="S29" s="17">
        <f>MAR!$Q29-MAR!$R29</f>
        <v>0</v>
      </c>
      <c r="U29" s="15"/>
      <c r="V29" s="16"/>
      <c r="W29" s="16"/>
      <c r="X29" s="17">
        <f>MAR!$V29-MAR!$W29</f>
        <v>0</v>
      </c>
      <c r="AM29" s="12" t="str">
        <f t="shared" si="0"/>
        <v/>
      </c>
      <c r="AN29" s="12">
        <f t="shared" si="5"/>
        <v>0</v>
      </c>
      <c r="AO29" s="12" t="s">
        <v>159</v>
      </c>
      <c r="AP29" s="12" t="str">
        <f>IFERROR(VLOOKUP(AN29,MAR!$K$23:$M$38,3,FALSE),"")</f>
        <v/>
      </c>
    </row>
    <row r="30" spans="2:42" ht="14.25" customHeight="1">
      <c r="B30" s="15"/>
      <c r="C30" s="16"/>
      <c r="D30" s="17"/>
      <c r="F30" s="15"/>
      <c r="G30" s="16"/>
      <c r="H30" s="16"/>
      <c r="I30" s="17">
        <f>MAR!$G30-MAR!$H30</f>
        <v>0</v>
      </c>
      <c r="K30" s="15"/>
      <c r="L30" s="16"/>
      <c r="M30" s="16"/>
      <c r="N30" s="17">
        <f>MAR!$L30-MAR!$M30</f>
        <v>0</v>
      </c>
      <c r="P30" s="15"/>
      <c r="Q30" s="16"/>
      <c r="R30" s="16"/>
      <c r="S30" s="17">
        <f>MAR!$Q30-MAR!$R30</f>
        <v>0</v>
      </c>
      <c r="U30" s="15"/>
      <c r="V30" s="16"/>
      <c r="W30" s="16"/>
      <c r="X30" s="17">
        <f>MAR!$V30-MAR!$W30</f>
        <v>0</v>
      </c>
      <c r="AM30" s="12" t="str">
        <f t="shared" si="0"/>
        <v/>
      </c>
      <c r="AN30" s="12">
        <f t="shared" si="5"/>
        <v>0</v>
      </c>
      <c r="AO30" s="12" t="s">
        <v>159</v>
      </c>
      <c r="AP30" s="12" t="str">
        <f>IFERROR(VLOOKUP(AN30,MAR!$K$23:$M$38,3,FALSE),"")</f>
        <v/>
      </c>
    </row>
    <row r="31" spans="2:42" ht="14.25" customHeight="1">
      <c r="B31" s="15"/>
      <c r="C31" s="16"/>
      <c r="D31" s="17"/>
      <c r="F31" s="15"/>
      <c r="G31" s="16"/>
      <c r="H31" s="16"/>
      <c r="I31" s="17">
        <f>MAR!$G31-MAR!$H31</f>
        <v>0</v>
      </c>
      <c r="K31" s="15"/>
      <c r="L31" s="16"/>
      <c r="M31" s="16"/>
      <c r="N31" s="17">
        <f>MAR!$L31-MAR!$M31</f>
        <v>0</v>
      </c>
      <c r="P31" s="15"/>
      <c r="Q31" s="16"/>
      <c r="R31" s="16"/>
      <c r="S31" s="17">
        <f>MAR!$Q31-MAR!$R31</f>
        <v>0</v>
      </c>
      <c r="U31" s="15"/>
      <c r="V31" s="16"/>
      <c r="W31" s="16"/>
      <c r="X31" s="17">
        <f>MAR!$V31-MAR!$W31</f>
        <v>0</v>
      </c>
      <c r="AM31" s="12" t="str">
        <f t="shared" si="0"/>
        <v/>
      </c>
      <c r="AN31" s="12">
        <f t="shared" si="5"/>
        <v>0</v>
      </c>
      <c r="AO31" s="12" t="s">
        <v>159</v>
      </c>
      <c r="AP31" s="12" t="str">
        <f>IFERROR(VLOOKUP(AN31,MAR!$K$23:$M$38,3,FALSE),"")</f>
        <v/>
      </c>
    </row>
    <row r="32" spans="2:42" ht="14.25" customHeight="1">
      <c r="B32" s="15"/>
      <c r="C32" s="16"/>
      <c r="D32" s="17"/>
      <c r="F32" s="15"/>
      <c r="G32" s="16"/>
      <c r="H32" s="16"/>
      <c r="I32" s="17">
        <f>MAR!$G32-MAR!$H32</f>
        <v>0</v>
      </c>
      <c r="K32" s="15"/>
      <c r="L32" s="16"/>
      <c r="M32" s="16"/>
      <c r="N32" s="17">
        <f>MAR!$L32-MAR!$M32</f>
        <v>0</v>
      </c>
      <c r="P32" s="15"/>
      <c r="Q32" s="16"/>
      <c r="R32" s="16"/>
      <c r="S32" s="17">
        <f>MAR!$Q32-MAR!$R32</f>
        <v>0</v>
      </c>
      <c r="U32" s="15"/>
      <c r="V32" s="16"/>
      <c r="W32" s="16"/>
      <c r="X32" s="17">
        <f>MAR!$V32-MAR!$W32</f>
        <v>0</v>
      </c>
      <c r="AM32" s="12" t="str">
        <f t="shared" si="0"/>
        <v/>
      </c>
      <c r="AN32" s="12">
        <f t="shared" si="5"/>
        <v>0</v>
      </c>
      <c r="AO32" s="12" t="s">
        <v>159</v>
      </c>
      <c r="AP32" s="12" t="str">
        <f>IFERROR(VLOOKUP(AN32,MAR!$K$23:$M$38,3,FALSE),"")</f>
        <v/>
      </c>
    </row>
    <row r="33" spans="2:42" ht="14.25" customHeight="1">
      <c r="B33" s="15"/>
      <c r="C33" s="16"/>
      <c r="D33" s="17"/>
      <c r="F33" s="15"/>
      <c r="G33" s="16"/>
      <c r="H33" s="16"/>
      <c r="I33" s="17">
        <f>MAR!$G33-MAR!$H33</f>
        <v>0</v>
      </c>
      <c r="K33" s="15"/>
      <c r="L33" s="16"/>
      <c r="M33" s="16"/>
      <c r="N33" s="17">
        <f>MAR!$L33-MAR!$M33</f>
        <v>0</v>
      </c>
      <c r="P33" s="15"/>
      <c r="Q33" s="16"/>
      <c r="R33" s="16"/>
      <c r="S33" s="17">
        <f>MAR!$Q33-MAR!$R33</f>
        <v>0</v>
      </c>
      <c r="U33" s="15"/>
      <c r="V33" s="16"/>
      <c r="W33" s="16"/>
      <c r="X33" s="17">
        <f>MAR!$V33-MAR!$W33</f>
        <v>0</v>
      </c>
      <c r="AM33" s="12" t="str">
        <f t="shared" si="0"/>
        <v/>
      </c>
      <c r="AN33" s="12">
        <f t="shared" si="5"/>
        <v>0</v>
      </c>
      <c r="AO33" s="12" t="s">
        <v>159</v>
      </c>
      <c r="AP33" s="12" t="str">
        <f>IFERROR(VLOOKUP(AN33,MAR!$K$23:$M$38,3,FALSE),"")</f>
        <v/>
      </c>
    </row>
    <row r="34" spans="2:42" ht="14.25" customHeight="1">
      <c r="B34" s="15"/>
      <c r="C34" s="16"/>
      <c r="D34" s="17"/>
      <c r="F34" s="15"/>
      <c r="G34" s="16"/>
      <c r="H34" s="16"/>
      <c r="I34" s="17">
        <f>MAR!$G34-MAR!$H34</f>
        <v>0</v>
      </c>
      <c r="K34" s="15"/>
      <c r="L34" s="16"/>
      <c r="M34" s="16"/>
      <c r="N34" s="17">
        <f>MAR!$L34-MAR!$M34</f>
        <v>0</v>
      </c>
      <c r="P34" s="15"/>
      <c r="Q34" s="16"/>
      <c r="R34" s="16"/>
      <c r="S34" s="17">
        <f>MAR!$Q34-MAR!$R34</f>
        <v>0</v>
      </c>
      <c r="U34" s="15"/>
      <c r="V34" s="16"/>
      <c r="W34" s="16"/>
      <c r="X34" s="17">
        <f>MAR!$V34-MAR!$W34</f>
        <v>0</v>
      </c>
      <c r="AM34" s="12" t="str">
        <f t="shared" si="0"/>
        <v/>
      </c>
      <c r="AN34" s="12">
        <f t="shared" si="5"/>
        <v>0</v>
      </c>
      <c r="AO34" s="12" t="s">
        <v>175</v>
      </c>
      <c r="AP34" s="12" t="str">
        <f>IFERROR(VLOOKUP(AN34,MAR!$K$23:$M$38,3,FALSE),"")</f>
        <v/>
      </c>
    </row>
    <row r="35" spans="2:42" ht="14.25" customHeight="1">
      <c r="B35" s="15"/>
      <c r="C35" s="16"/>
      <c r="D35" s="17"/>
      <c r="F35" s="15"/>
      <c r="G35" s="16"/>
      <c r="H35" s="16"/>
      <c r="I35" s="17">
        <f>MAR!$G35-MAR!$H35</f>
        <v>0</v>
      </c>
      <c r="K35" s="15"/>
      <c r="L35" s="16"/>
      <c r="M35" s="16"/>
      <c r="N35" s="17">
        <f>MAR!$L35-MAR!$M35</f>
        <v>0</v>
      </c>
      <c r="P35" s="15"/>
      <c r="Q35" s="16"/>
      <c r="R35" s="16"/>
      <c r="S35" s="17">
        <f>MAR!$Q35-MAR!$R35</f>
        <v>0</v>
      </c>
      <c r="U35" s="15"/>
      <c r="V35" s="16"/>
      <c r="W35" s="16"/>
      <c r="X35" s="17">
        <f>MAR!$V35-MAR!$W35</f>
        <v>0</v>
      </c>
      <c r="AM35" s="12" t="str">
        <f t="shared" si="0"/>
        <v/>
      </c>
      <c r="AN35" s="12">
        <f t="shared" ref="AN35:AN49" si="6">P23</f>
        <v>0</v>
      </c>
      <c r="AO35" s="12" t="s">
        <v>175</v>
      </c>
      <c r="AP35" s="12" t="str">
        <f>IFERROR(VLOOKUP(AN35,MAR!$P$23:$R$38,3,FALSE),"")</f>
        <v/>
      </c>
    </row>
    <row r="36" spans="2:42" ht="14.25" customHeight="1">
      <c r="B36" s="15"/>
      <c r="C36" s="16"/>
      <c r="D36" s="17"/>
      <c r="F36" s="15"/>
      <c r="G36" s="16"/>
      <c r="H36" s="16"/>
      <c r="I36" s="17">
        <f>MAR!$G36-MAR!$H36</f>
        <v>0</v>
      </c>
      <c r="K36" s="15"/>
      <c r="L36" s="16"/>
      <c r="M36" s="16"/>
      <c r="N36" s="17">
        <f>MAR!$L36-MAR!$M36</f>
        <v>0</v>
      </c>
      <c r="P36" s="15"/>
      <c r="Q36" s="16"/>
      <c r="R36" s="16"/>
      <c r="S36" s="17">
        <f>MAR!$Q36-MAR!$R36</f>
        <v>0</v>
      </c>
      <c r="U36" s="15"/>
      <c r="V36" s="16"/>
      <c r="W36" s="16"/>
      <c r="X36" s="17">
        <f>MAR!$V36-MAR!$W36</f>
        <v>0</v>
      </c>
      <c r="AM36" s="12" t="str">
        <f t="shared" si="0"/>
        <v/>
      </c>
      <c r="AN36" s="12">
        <f t="shared" si="6"/>
        <v>0</v>
      </c>
      <c r="AO36" s="12" t="s">
        <v>175</v>
      </c>
      <c r="AP36" s="12" t="str">
        <f>IFERROR(VLOOKUP(AN36,MAR!$P$23:$R$38,3,FALSE),"")</f>
        <v/>
      </c>
    </row>
    <row r="37" spans="2:42" ht="14.25" customHeight="1">
      <c r="B37" s="15"/>
      <c r="C37" s="16"/>
      <c r="D37" s="17"/>
      <c r="F37" s="15"/>
      <c r="G37" s="16"/>
      <c r="H37" s="16"/>
      <c r="I37" s="17">
        <f>MAR!$G37-MAR!$H37</f>
        <v>0</v>
      </c>
      <c r="K37" s="15"/>
      <c r="L37" s="16"/>
      <c r="M37" s="16"/>
      <c r="N37" s="17">
        <f>MAR!$L37-MAR!$M37</f>
        <v>0</v>
      </c>
      <c r="P37" s="15"/>
      <c r="Q37" s="16"/>
      <c r="R37" s="16"/>
      <c r="S37" s="17">
        <f>MAR!$Q37-MAR!$R37</f>
        <v>0</v>
      </c>
      <c r="U37" s="15"/>
      <c r="V37" s="16"/>
      <c r="W37" s="16"/>
      <c r="X37" s="17">
        <f>MAR!$V37-MAR!$W37</f>
        <v>0</v>
      </c>
      <c r="AM37" s="12" t="str">
        <f t="shared" si="0"/>
        <v/>
      </c>
      <c r="AN37" s="12">
        <f t="shared" si="6"/>
        <v>0</v>
      </c>
      <c r="AO37" s="12" t="s">
        <v>175</v>
      </c>
      <c r="AP37" s="12" t="str">
        <f>IFERROR(VLOOKUP(AN37,MAR!$P$23:$R$38,3,FALSE),"")</f>
        <v/>
      </c>
    </row>
    <row r="38" spans="2:42" ht="14.25" customHeight="1">
      <c r="B38" s="18"/>
      <c r="C38" s="19"/>
      <c r="D38" s="20"/>
      <c r="F38" s="18"/>
      <c r="G38" s="19"/>
      <c r="H38" s="19"/>
      <c r="I38" s="20">
        <f>MAR!$G38-MAR!$H38</f>
        <v>0</v>
      </c>
      <c r="K38" s="18"/>
      <c r="L38" s="19"/>
      <c r="M38" s="19"/>
      <c r="N38" s="20">
        <f>MAR!$L38-MAR!$M38</f>
        <v>0</v>
      </c>
      <c r="P38" s="18"/>
      <c r="Q38" s="19"/>
      <c r="R38" s="19"/>
      <c r="S38" s="20">
        <f>MAR!$Q38-MAR!$R38</f>
        <v>0</v>
      </c>
      <c r="U38" s="18"/>
      <c r="V38" s="19"/>
      <c r="W38" s="19"/>
      <c r="X38" s="20">
        <f>MAR!$V38-MAR!$W38</f>
        <v>0</v>
      </c>
      <c r="AM38" s="12" t="str">
        <f t="shared" si="0"/>
        <v/>
      </c>
      <c r="AN38" s="12">
        <f t="shared" si="6"/>
        <v>0</v>
      </c>
      <c r="AO38" s="12" t="s">
        <v>175</v>
      </c>
      <c r="AP38" s="12" t="str">
        <f>IFERROR(VLOOKUP(AN38,MAR!$P$23:$R$38,3,FALSE),"")</f>
        <v/>
      </c>
    </row>
    <row r="39" spans="2:42" ht="14.25" customHeight="1">
      <c r="AM39" s="12" t="str">
        <f t="shared" si="0"/>
        <v/>
      </c>
      <c r="AN39" s="12">
        <f t="shared" si="6"/>
        <v>0</v>
      </c>
      <c r="AO39" s="12" t="s">
        <v>175</v>
      </c>
      <c r="AP39" s="12" t="str">
        <f>IFERROR(VLOOKUP(AN39,MAR!$P$23:$R$38,3,FALSE),"")</f>
        <v/>
      </c>
    </row>
    <row r="40" spans="2:42" ht="14.25" customHeight="1">
      <c r="AM40" s="12" t="str">
        <f t="shared" si="0"/>
        <v/>
      </c>
      <c r="AN40" s="12">
        <f t="shared" si="6"/>
        <v>0</v>
      </c>
      <c r="AO40" s="12" t="s">
        <v>175</v>
      </c>
      <c r="AP40" s="12" t="str">
        <f>IFERROR(VLOOKUP(AN40,MAR!$P$23:$R$38,3,FALSE),"")</f>
        <v/>
      </c>
    </row>
    <row r="41" spans="2:42" ht="14.25" customHeight="1">
      <c r="AM41" s="12" t="str">
        <f t="shared" si="0"/>
        <v/>
      </c>
      <c r="AN41" s="12">
        <f t="shared" si="6"/>
        <v>0</v>
      </c>
      <c r="AO41" s="12" t="s">
        <v>175</v>
      </c>
      <c r="AP41" s="12" t="str">
        <f>IFERROR(VLOOKUP(AN41,MAR!$P$23:$R$38,3,FALSE),"")</f>
        <v/>
      </c>
    </row>
    <row r="42" spans="2:42" ht="14.25" customHeight="1">
      <c r="AM42" s="12" t="str">
        <f t="shared" si="0"/>
        <v/>
      </c>
      <c r="AN42" s="12">
        <f t="shared" si="6"/>
        <v>0</v>
      </c>
      <c r="AO42" s="12" t="s">
        <v>175</v>
      </c>
      <c r="AP42" s="12" t="str">
        <f>IFERROR(VLOOKUP(AN42,MAR!$P$23:$R$38,3,FALSE),"")</f>
        <v/>
      </c>
    </row>
    <row r="43" spans="2:42" ht="14.25" customHeight="1">
      <c r="AM43" s="12" t="str">
        <f t="shared" si="0"/>
        <v/>
      </c>
      <c r="AN43" s="12">
        <f t="shared" si="6"/>
        <v>0</v>
      </c>
      <c r="AO43" s="12" t="s">
        <v>175</v>
      </c>
      <c r="AP43" s="12" t="str">
        <f>IFERROR(VLOOKUP(AN43,MAR!$P$23:$R$38,3,FALSE),"")</f>
        <v/>
      </c>
    </row>
    <row r="44" spans="2:42" ht="14.25" customHeight="1">
      <c r="AM44" s="12" t="str">
        <f t="shared" si="0"/>
        <v/>
      </c>
      <c r="AN44" s="12">
        <f t="shared" si="6"/>
        <v>0</v>
      </c>
      <c r="AO44" s="12" t="s">
        <v>175</v>
      </c>
      <c r="AP44" s="12" t="str">
        <f>IFERROR(VLOOKUP(AN44,MAR!$P$23:$R$38,3,FALSE),"")</f>
        <v/>
      </c>
    </row>
    <row r="45" spans="2:42" ht="14.25" customHeight="1">
      <c r="AM45" s="12" t="str">
        <f t="shared" si="0"/>
        <v/>
      </c>
      <c r="AN45" s="12">
        <f t="shared" si="6"/>
        <v>0</v>
      </c>
      <c r="AO45" s="12" t="s">
        <v>175</v>
      </c>
      <c r="AP45" s="12" t="str">
        <f>IFERROR(VLOOKUP(AN45,MAR!$P$23:$R$38,3,FALSE),"")</f>
        <v/>
      </c>
    </row>
    <row r="46" spans="2:42" ht="14.25" customHeight="1">
      <c r="AM46" s="12" t="str">
        <f t="shared" si="0"/>
        <v/>
      </c>
      <c r="AN46" s="12">
        <f t="shared" si="6"/>
        <v>0</v>
      </c>
      <c r="AO46" s="12" t="s">
        <v>175</v>
      </c>
      <c r="AP46" s="12" t="str">
        <f>IFERROR(VLOOKUP(AN46,MAR!$P$23:$R$38,3,FALSE),"")</f>
        <v/>
      </c>
    </row>
    <row r="47" spans="2:42" ht="14.25" customHeight="1">
      <c r="AM47" s="12" t="str">
        <f t="shared" si="0"/>
        <v/>
      </c>
      <c r="AN47" s="12">
        <f t="shared" si="6"/>
        <v>0</v>
      </c>
      <c r="AO47" s="12" t="s">
        <v>175</v>
      </c>
      <c r="AP47" s="12" t="str">
        <f>IFERROR(VLOOKUP(AN47,MAR!$P$23:$R$38,3,FALSE),"")</f>
        <v/>
      </c>
    </row>
    <row r="48" spans="2:42" ht="14.25" customHeight="1">
      <c r="AM48" s="12" t="str">
        <f t="shared" si="0"/>
        <v/>
      </c>
      <c r="AN48" s="12">
        <f t="shared" si="6"/>
        <v>0</v>
      </c>
      <c r="AO48" s="12" t="s">
        <v>175</v>
      </c>
      <c r="AP48" s="12" t="str">
        <f>IFERROR(VLOOKUP(AN48,MAR!$P$23:$R$38,3,FALSE),"")</f>
        <v/>
      </c>
    </row>
    <row r="49" spans="39:42" ht="14.25" customHeight="1">
      <c r="AM49" s="12" t="str">
        <f t="shared" si="0"/>
        <v/>
      </c>
      <c r="AN49" s="12">
        <f t="shared" si="6"/>
        <v>0</v>
      </c>
      <c r="AO49" s="12" t="s">
        <v>161</v>
      </c>
      <c r="AP49" s="12" t="str">
        <f>IFERROR(VLOOKUP(AN49,MAR!$P$23:$R$38,3,FALSE),"")</f>
        <v/>
      </c>
    </row>
    <row r="50" spans="39:42" ht="14.25" customHeight="1">
      <c r="AM50" s="12" t="str">
        <f t="shared" si="0"/>
        <v/>
      </c>
      <c r="AN50" s="12">
        <f t="shared" ref="AN50:AN65" si="7">U23</f>
        <v>0</v>
      </c>
      <c r="AO50" s="12" t="s">
        <v>161</v>
      </c>
      <c r="AP50" s="12" t="str">
        <f>IFERROR(VLOOKUP(AN50,MAR!$U$23:$W$38,3,FALSE),"")</f>
        <v/>
      </c>
    </row>
    <row r="51" spans="39:42" ht="14.25" customHeight="1">
      <c r="AM51" s="12" t="str">
        <f t="shared" si="0"/>
        <v/>
      </c>
      <c r="AN51" s="12">
        <f t="shared" si="7"/>
        <v>0</v>
      </c>
      <c r="AO51" s="12" t="s">
        <v>161</v>
      </c>
      <c r="AP51" s="12" t="str">
        <f>IFERROR(VLOOKUP(AN51,MAR!$U$23:$W$38,3,FALSE),"")</f>
        <v/>
      </c>
    </row>
    <row r="52" spans="39:42" ht="14.25" customHeight="1">
      <c r="AM52" s="12" t="str">
        <f t="shared" si="0"/>
        <v/>
      </c>
      <c r="AN52" s="12">
        <f t="shared" si="7"/>
        <v>0</v>
      </c>
      <c r="AO52" s="12" t="s">
        <v>161</v>
      </c>
      <c r="AP52" s="12" t="str">
        <f>IFERROR(VLOOKUP(AN52,MAR!$U$23:$W$38,3,FALSE),"")</f>
        <v/>
      </c>
    </row>
    <row r="53" spans="39:42" ht="14.25" customHeight="1">
      <c r="AM53" s="12" t="str">
        <f t="shared" si="0"/>
        <v/>
      </c>
      <c r="AN53" s="12">
        <f t="shared" si="7"/>
        <v>0</v>
      </c>
      <c r="AO53" s="12" t="s">
        <v>161</v>
      </c>
      <c r="AP53" s="12" t="str">
        <f>IFERROR(VLOOKUP(AN53,MAR!$U$23:$W$38,3,FALSE),"")</f>
        <v/>
      </c>
    </row>
    <row r="54" spans="39:42" ht="14.25" customHeight="1">
      <c r="AM54" s="12" t="str">
        <f t="shared" si="0"/>
        <v/>
      </c>
      <c r="AN54" s="12">
        <f t="shared" si="7"/>
        <v>0</v>
      </c>
      <c r="AO54" s="12" t="s">
        <v>161</v>
      </c>
      <c r="AP54" s="12" t="str">
        <f>IFERROR(VLOOKUP(AN54,MAR!$U$23:$W$38,3,FALSE),"")</f>
        <v/>
      </c>
    </row>
    <row r="55" spans="39:42" ht="14.25" customHeight="1">
      <c r="AM55" s="12" t="str">
        <f t="shared" si="0"/>
        <v/>
      </c>
      <c r="AN55" s="12">
        <f t="shared" si="7"/>
        <v>0</v>
      </c>
      <c r="AO55" s="12" t="s">
        <v>161</v>
      </c>
      <c r="AP55" s="12" t="str">
        <f>IFERROR(VLOOKUP(AN55,MAR!$U$23:$W$38,3,FALSE),"")</f>
        <v/>
      </c>
    </row>
    <row r="56" spans="39:42" ht="14.25" customHeight="1">
      <c r="AM56" s="12" t="str">
        <f t="shared" si="0"/>
        <v/>
      </c>
      <c r="AN56" s="12">
        <f t="shared" si="7"/>
        <v>0</v>
      </c>
      <c r="AO56" s="12" t="s">
        <v>161</v>
      </c>
      <c r="AP56" s="12" t="str">
        <f>IFERROR(VLOOKUP(AN56,MAR!$U$23:$W$38,3,FALSE),"")</f>
        <v/>
      </c>
    </row>
    <row r="57" spans="39:42" ht="14.25" customHeight="1">
      <c r="AM57" s="12" t="str">
        <f t="shared" si="0"/>
        <v/>
      </c>
      <c r="AN57" s="12">
        <f t="shared" si="7"/>
        <v>0</v>
      </c>
      <c r="AO57" s="12" t="s">
        <v>161</v>
      </c>
      <c r="AP57" s="12" t="str">
        <f>IFERROR(VLOOKUP(AN57,MAR!$U$23:$W$38,3,FALSE),"")</f>
        <v/>
      </c>
    </row>
    <row r="58" spans="39:42" ht="14.25" customHeight="1">
      <c r="AM58" s="12" t="str">
        <f t="shared" si="0"/>
        <v/>
      </c>
      <c r="AN58" s="12">
        <f t="shared" si="7"/>
        <v>0</v>
      </c>
      <c r="AO58" s="12" t="s">
        <v>161</v>
      </c>
      <c r="AP58" s="12" t="str">
        <f>IFERROR(VLOOKUP(AN58,MAR!$U$23:$W$38,3,FALSE),"")</f>
        <v/>
      </c>
    </row>
    <row r="59" spans="39:42" ht="14.25" customHeight="1">
      <c r="AM59" s="12" t="str">
        <f t="shared" si="0"/>
        <v/>
      </c>
      <c r="AN59" s="12">
        <f t="shared" si="7"/>
        <v>0</v>
      </c>
      <c r="AO59" s="12" t="s">
        <v>161</v>
      </c>
      <c r="AP59" s="12" t="str">
        <f>IFERROR(VLOOKUP(AN59,MAR!$U$23:$W$38,3,FALSE),"")</f>
        <v/>
      </c>
    </row>
    <row r="60" spans="39:42" ht="14.25" customHeight="1">
      <c r="AM60" s="12" t="str">
        <f t="shared" si="0"/>
        <v/>
      </c>
      <c r="AN60" s="12">
        <f t="shared" si="7"/>
        <v>0</v>
      </c>
      <c r="AO60" s="12" t="s">
        <v>161</v>
      </c>
      <c r="AP60" s="12" t="str">
        <f>IFERROR(VLOOKUP(AN60,MAR!$U$23:$W$38,3,FALSE),"")</f>
        <v/>
      </c>
    </row>
    <row r="61" spans="39:42" ht="14.25" customHeight="1">
      <c r="AM61" s="12" t="str">
        <f t="shared" si="0"/>
        <v/>
      </c>
      <c r="AN61" s="12">
        <f t="shared" si="7"/>
        <v>0</v>
      </c>
      <c r="AO61" s="12" t="s">
        <v>161</v>
      </c>
      <c r="AP61" s="12" t="str">
        <f>IFERROR(VLOOKUP(AN61,MAR!$U$23:$W$38,3,FALSE),"")</f>
        <v/>
      </c>
    </row>
    <row r="62" spans="39:42" ht="14.25" customHeight="1">
      <c r="AM62" s="12" t="str">
        <f t="shared" si="0"/>
        <v/>
      </c>
      <c r="AN62" s="12">
        <f t="shared" si="7"/>
        <v>0</v>
      </c>
      <c r="AO62" s="12" t="s">
        <v>161</v>
      </c>
      <c r="AP62" s="12" t="str">
        <f>IFERROR(VLOOKUP(AN62,MAR!$U$23:$W$38,3,FALSE),"")</f>
        <v/>
      </c>
    </row>
    <row r="63" spans="39:42" ht="14.25" customHeight="1">
      <c r="AM63" s="12" t="str">
        <f t="shared" si="0"/>
        <v/>
      </c>
      <c r="AN63" s="12">
        <f t="shared" si="7"/>
        <v>0</v>
      </c>
      <c r="AO63" s="12" t="s">
        <v>161</v>
      </c>
      <c r="AP63" s="12" t="str">
        <f>IFERROR(VLOOKUP(AN63,MAR!$U$23:$W$38,3,FALSE),"")</f>
        <v/>
      </c>
    </row>
    <row r="64" spans="39:42" ht="14.25" customHeight="1">
      <c r="AM64" s="12" t="str">
        <f t="shared" si="0"/>
        <v/>
      </c>
      <c r="AN64" s="12">
        <f t="shared" si="7"/>
        <v>0</v>
      </c>
      <c r="AO64" s="12" t="s">
        <v>161</v>
      </c>
      <c r="AP64" s="12" t="str">
        <f>IFERROR(VLOOKUP(AN64,MAR!$U$23:$W$38,3,FALSE),"")</f>
        <v/>
      </c>
    </row>
    <row r="65" spans="39:42" ht="14.25" customHeight="1">
      <c r="AM65" s="12" t="str">
        <f t="shared" si="0"/>
        <v/>
      </c>
      <c r="AN65" s="12">
        <f t="shared" si="7"/>
        <v>0</v>
      </c>
      <c r="AO65" s="12" t="s">
        <v>161</v>
      </c>
      <c r="AP65" s="12" t="str">
        <f>IFERROR(VLOOKUP(AN65,MAR!$U$23:$W$38,3,FALSE),"")</f>
        <v/>
      </c>
    </row>
    <row r="66" spans="39:42" ht="14.25" customHeight="1"/>
    <row r="67" spans="39:42" ht="14.25" customHeight="1"/>
    <row r="68" spans="39:42" ht="14.25" customHeight="1"/>
    <row r="69" spans="39:42" ht="14.25" customHeight="1"/>
    <row r="70" spans="39:42" ht="14.25" customHeight="1"/>
    <row r="71" spans="39:42" ht="14.25" customHeight="1"/>
    <row r="72" spans="39:42" ht="14.25" customHeight="1"/>
    <row r="73" spans="39:42" ht="14.25" customHeight="1"/>
    <row r="74" spans="39:42" ht="14.25" customHeight="1"/>
    <row r="75" spans="39:42" ht="14.25" customHeight="1"/>
    <row r="76" spans="39:42" ht="14.25" customHeight="1"/>
    <row r="77" spans="39:42" ht="14.25" customHeight="1"/>
    <row r="78" spans="39:42" ht="14.25" customHeight="1"/>
    <row r="79" spans="39:42" ht="14.25" customHeight="1"/>
    <row r="80" spans="39:4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N2:AP65" xr:uid="{00000000-0009-0000-0000-000008000000}"/>
  <mergeCells count="18">
    <mergeCell ref="B2:D4"/>
    <mergeCell ref="F2:H3"/>
    <mergeCell ref="J2:L3"/>
    <mergeCell ref="R2:T3"/>
    <mergeCell ref="F4:H5"/>
    <mergeCell ref="J4:L5"/>
    <mergeCell ref="R4:T5"/>
    <mergeCell ref="B5:D5"/>
    <mergeCell ref="B7:D9"/>
    <mergeCell ref="B20:D21"/>
    <mergeCell ref="F20:I21"/>
    <mergeCell ref="K20:N21"/>
    <mergeCell ref="N2:P3"/>
    <mergeCell ref="N4:P5"/>
    <mergeCell ref="V2:X3"/>
    <mergeCell ref="V4:X5"/>
    <mergeCell ref="U20:X21"/>
    <mergeCell ref="P20:S21"/>
  </mergeCells>
  <pageMargins left="0.7" right="0.7" top="0.75" bottom="0.75" header="0" footer="0"/>
  <pageSetup orientation="landscape"/>
  <drawing r:id="rId1"/>
  <tableParts count="5">
    <tablePart r:id="rId2"/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800-000000000000}">
          <x14:formula1>
            <xm:f>lists!$D$2:$D$21</xm:f>
          </x14:formula1>
          <xm:sqref>P23:P38</xm:sqref>
        </x14:dataValidation>
        <x14:dataValidation type="list" allowBlank="1" showErrorMessage="1" xr:uid="{00000000-0002-0000-0800-000001000000}">
          <x14:formula1>
            <xm:f>lists!$A$2:$A$35</xm:f>
          </x14:formula1>
          <xm:sqref>B23:B38</xm:sqref>
        </x14:dataValidation>
        <x14:dataValidation type="list" allowBlank="1" showErrorMessage="1" xr:uid="{00000000-0002-0000-0800-000002000000}">
          <x14:formula1>
            <xm:f>lists!$B$2:$B$24</xm:f>
          </x14:formula1>
          <xm:sqref>F23:F38</xm:sqref>
        </x14:dataValidation>
        <x14:dataValidation type="list" allowBlank="1" showErrorMessage="1" xr:uid="{00000000-0002-0000-0800-000003000000}">
          <x14:formula1>
            <xm:f>lists!$E$2:$E$25</xm:f>
          </x14:formula1>
          <xm:sqref>U23:U38</xm:sqref>
        </x14:dataValidation>
        <x14:dataValidation type="list" allowBlank="1" showErrorMessage="1" xr:uid="{00000000-0002-0000-0800-000004000000}">
          <x14:formula1>
            <xm:f>lists!$C$2:$C$32</xm:f>
          </x14:formula1>
          <xm:sqref>K23:K38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548135"/>
  </sheetPr>
  <dimension ref="B1:AP1000"/>
  <sheetViews>
    <sheetView workbookViewId="0"/>
  </sheetViews>
  <sheetFormatPr defaultColWidth="14.3984375" defaultRowHeight="15" customHeight="1"/>
  <cols>
    <col min="1" max="1" width="3.3984375" customWidth="1"/>
    <col min="2" max="2" width="14.265625" customWidth="1"/>
    <col min="3" max="3" width="14.3984375" customWidth="1"/>
    <col min="4" max="4" width="15.3984375" customWidth="1"/>
    <col min="5" max="5" width="4.3984375" customWidth="1"/>
    <col min="6" max="6" width="12.1328125" customWidth="1"/>
    <col min="7" max="8" width="12.73046875" customWidth="1"/>
    <col min="9" max="9" width="11.73046875" customWidth="1"/>
    <col min="10" max="10" width="8.73046875" customWidth="1"/>
    <col min="11" max="11" width="10.1328125" customWidth="1"/>
    <col min="12" max="13" width="11.86328125" customWidth="1"/>
    <col min="14" max="14" width="11.73046875" customWidth="1"/>
    <col min="15" max="15" width="8.73046875" customWidth="1"/>
    <col min="16" max="16" width="13.86328125" customWidth="1"/>
    <col min="17" max="18" width="11.86328125" customWidth="1"/>
    <col min="19" max="19" width="11.73046875" customWidth="1"/>
    <col min="20" max="20" width="8.73046875" customWidth="1"/>
    <col min="21" max="21" width="16.265625" customWidth="1"/>
    <col min="22" max="22" width="13" customWidth="1"/>
    <col min="23" max="23" width="17.1328125" customWidth="1"/>
    <col min="24" max="24" width="13.86328125" customWidth="1"/>
    <col min="25" max="37" width="8.73046875" customWidth="1"/>
    <col min="38" max="39" width="8.73046875" hidden="1" customWidth="1"/>
    <col min="40" max="40" width="17.53125" hidden="1" customWidth="1"/>
    <col min="41" max="41" width="12.3984375" hidden="1" customWidth="1"/>
    <col min="42" max="42" width="14.86328125" hidden="1" customWidth="1"/>
  </cols>
  <sheetData>
    <row r="1" spans="2:42" ht="14.25" customHeight="1"/>
    <row r="2" spans="2:42" ht="19.5" customHeight="1">
      <c r="B2" s="50" t="s">
        <v>182</v>
      </c>
      <c r="C2" s="30"/>
      <c r="D2" s="25"/>
      <c r="F2" s="29" t="s">
        <v>157</v>
      </c>
      <c r="G2" s="30"/>
      <c r="H2" s="25"/>
      <c r="J2" s="29" t="s">
        <v>158</v>
      </c>
      <c r="K2" s="30"/>
      <c r="L2" s="25"/>
      <c r="N2" s="29" t="s">
        <v>159</v>
      </c>
      <c r="O2" s="30"/>
      <c r="P2" s="25"/>
      <c r="R2" s="49" t="s">
        <v>160</v>
      </c>
      <c r="S2" s="30"/>
      <c r="T2" s="25"/>
      <c r="V2" s="33" t="s">
        <v>161</v>
      </c>
      <c r="W2" s="30"/>
      <c r="X2" s="25"/>
      <c r="AM2" s="11" t="s">
        <v>162</v>
      </c>
      <c r="AN2" s="11" t="s">
        <v>163</v>
      </c>
      <c r="AO2" s="11" t="s">
        <v>164</v>
      </c>
      <c r="AP2" s="11" t="s">
        <v>165</v>
      </c>
    </row>
    <row r="3" spans="2:42" ht="19.5" customHeight="1">
      <c r="B3" s="51"/>
      <c r="C3" s="45"/>
      <c r="D3" s="52"/>
      <c r="F3" s="26"/>
      <c r="G3" s="31"/>
      <c r="H3" s="27"/>
      <c r="J3" s="26"/>
      <c r="K3" s="31"/>
      <c r="L3" s="27"/>
      <c r="N3" s="26"/>
      <c r="O3" s="31"/>
      <c r="P3" s="27"/>
      <c r="R3" s="26"/>
      <c r="S3" s="31"/>
      <c r="T3" s="27"/>
      <c r="V3" s="26"/>
      <c r="W3" s="31"/>
      <c r="X3" s="27"/>
      <c r="AM3" s="12" t="str">
        <f t="shared" ref="AM3:AM65" si="0">IFERROR(_xlfn.RANK.EQ(AP3, $AP$3:$AP$150)+ COUNTIFS($AP$3:AP3, AP3) - 1,"")</f>
        <v/>
      </c>
      <c r="AN3" s="12">
        <f t="shared" ref="AN3:AN18" si="1">F23</f>
        <v>0</v>
      </c>
      <c r="AO3" s="12" t="s">
        <v>158</v>
      </c>
      <c r="AP3" s="12" t="str">
        <f>IFERROR(VLOOKUP(AN3,AUG!$F$23:$H$38,3,FALSE),"")</f>
        <v/>
      </c>
    </row>
    <row r="4" spans="2:42" ht="19.5" customHeight="1">
      <c r="B4" s="35"/>
      <c r="C4" s="36"/>
      <c r="D4" s="37"/>
      <c r="F4" s="32">
        <f>SUM(AUG!$D$23:$D$38)</f>
        <v>0</v>
      </c>
      <c r="G4" s="30"/>
      <c r="H4" s="25"/>
      <c r="J4" s="32">
        <f>SUM(AUG!$H$23:$H$38)</f>
        <v>0</v>
      </c>
      <c r="K4" s="30"/>
      <c r="L4" s="25"/>
      <c r="N4" s="32">
        <f>SUM(AUG!$M$23:$M$38)</f>
        <v>0</v>
      </c>
      <c r="O4" s="30"/>
      <c r="P4" s="25"/>
      <c r="R4" s="32">
        <f>SUM(AUG!$R$23:$R$38)</f>
        <v>0</v>
      </c>
      <c r="S4" s="30"/>
      <c r="T4" s="25"/>
      <c r="V4" s="32">
        <f>SUM(AUG!$W$23:$W$38)</f>
        <v>0</v>
      </c>
      <c r="W4" s="30"/>
      <c r="X4" s="25"/>
      <c r="AM4" s="12" t="str">
        <f t="shared" si="0"/>
        <v/>
      </c>
      <c r="AN4" s="12">
        <f t="shared" si="1"/>
        <v>0</v>
      </c>
      <c r="AO4" s="12" t="s">
        <v>158</v>
      </c>
      <c r="AP4" s="12" t="str">
        <f>IFERROR(VLOOKUP(AN4,AUG!$F$23:$H$38,3,FALSE),"")</f>
        <v/>
      </c>
    </row>
    <row r="5" spans="2:42" ht="21.75" customHeight="1">
      <c r="B5" s="38" t="s">
        <v>166</v>
      </c>
      <c r="C5" s="39"/>
      <c r="D5" s="40"/>
      <c r="F5" s="26"/>
      <c r="G5" s="31"/>
      <c r="H5" s="27"/>
      <c r="J5" s="26"/>
      <c r="K5" s="31"/>
      <c r="L5" s="27"/>
      <c r="N5" s="26"/>
      <c r="O5" s="31"/>
      <c r="P5" s="27"/>
      <c r="R5" s="26"/>
      <c r="S5" s="31"/>
      <c r="T5" s="27"/>
      <c r="V5" s="26"/>
      <c r="W5" s="31"/>
      <c r="X5" s="27"/>
      <c r="AM5" s="12" t="str">
        <f t="shared" si="0"/>
        <v/>
      </c>
      <c r="AN5" s="12">
        <f t="shared" si="1"/>
        <v>0</v>
      </c>
      <c r="AO5" s="12" t="s">
        <v>158</v>
      </c>
      <c r="AP5" s="12" t="str">
        <f>IFERROR(VLOOKUP(AN5,AUG!$F$23:$H$38,3,FALSE),"")</f>
        <v/>
      </c>
    </row>
    <row r="6" spans="2:42" ht="14.25" customHeight="1">
      <c r="AM6" s="12" t="str">
        <f t="shared" si="0"/>
        <v/>
      </c>
      <c r="AN6" s="12">
        <f t="shared" si="1"/>
        <v>0</v>
      </c>
      <c r="AO6" s="12" t="s">
        <v>158</v>
      </c>
      <c r="AP6" s="12" t="str">
        <f>IFERROR(VLOOKUP(AN6,AUG!$F$23:$H$38,3,FALSE),"")</f>
        <v/>
      </c>
    </row>
    <row r="7" spans="2:42" ht="13.5" customHeight="1">
      <c r="B7" s="41" t="s">
        <v>167</v>
      </c>
      <c r="C7" s="42"/>
      <c r="D7" s="43"/>
      <c r="V7" s="13" t="s">
        <v>168</v>
      </c>
      <c r="W7" s="13" t="s">
        <v>163</v>
      </c>
      <c r="X7" s="13" t="s">
        <v>169</v>
      </c>
      <c r="AM7" s="12" t="str">
        <f t="shared" si="0"/>
        <v/>
      </c>
      <c r="AN7" s="12">
        <f t="shared" si="1"/>
        <v>0</v>
      </c>
      <c r="AO7" s="12" t="s">
        <v>158</v>
      </c>
      <c r="AP7" s="12" t="str">
        <f>IFERROR(VLOOKUP(AN7,AUG!$F$23:$H$38,3,FALSE),"")</f>
        <v/>
      </c>
    </row>
    <row r="8" spans="2:42" ht="13.5" customHeight="1">
      <c r="B8" s="44"/>
      <c r="C8" s="45"/>
      <c r="D8" s="46"/>
      <c r="V8" s="12">
        <v>1</v>
      </c>
      <c r="W8" s="12" t="str">
        <f t="shared" ref="W8:W18" si="2">IFERROR(VLOOKUP(V8,$AM$3:$AP$65,2,FALSE),"")</f>
        <v/>
      </c>
      <c r="X8" s="12" t="str">
        <f t="shared" ref="X8:X18" si="3">IFERROR(VLOOKUP(V8,$AM$3:$AP$65,4,FALSE),"")</f>
        <v/>
      </c>
      <c r="AM8" s="12" t="str">
        <f t="shared" si="0"/>
        <v/>
      </c>
      <c r="AN8" s="12">
        <f t="shared" si="1"/>
        <v>0</v>
      </c>
      <c r="AO8" s="12" t="s">
        <v>158</v>
      </c>
      <c r="AP8" s="12" t="str">
        <f>IFERROR(VLOOKUP(AN8,AUG!$F$23:$H$38,3,FALSE),"")</f>
        <v/>
      </c>
    </row>
    <row r="9" spans="2:42" ht="13.5" customHeight="1">
      <c r="B9" s="47"/>
      <c r="C9" s="31"/>
      <c r="D9" s="48"/>
      <c r="V9" s="12">
        <v>2</v>
      </c>
      <c r="W9" s="12" t="str">
        <f t="shared" si="2"/>
        <v/>
      </c>
      <c r="X9" s="12" t="str">
        <f t="shared" si="3"/>
        <v/>
      </c>
      <c r="AM9" s="12" t="str">
        <f t="shared" si="0"/>
        <v/>
      </c>
      <c r="AN9" s="12">
        <f t="shared" si="1"/>
        <v>0</v>
      </c>
      <c r="AO9" s="12" t="s">
        <v>158</v>
      </c>
      <c r="AP9" s="12" t="str">
        <f>IFERROR(VLOOKUP(AN9,AUG!$F$23:$H$38,3,FALSE),"")</f>
        <v/>
      </c>
    </row>
    <row r="10" spans="2:42" ht="13.5" customHeight="1">
      <c r="B10" s="14"/>
      <c r="C10" s="14" t="s">
        <v>170</v>
      </c>
      <c r="D10" s="14" t="s">
        <v>171</v>
      </c>
      <c r="V10" s="12">
        <v>3</v>
      </c>
      <c r="W10" s="12" t="str">
        <f t="shared" si="2"/>
        <v/>
      </c>
      <c r="X10" s="12" t="str">
        <f t="shared" si="3"/>
        <v/>
      </c>
      <c r="AM10" s="12" t="str">
        <f t="shared" si="0"/>
        <v/>
      </c>
      <c r="AN10" s="12">
        <f t="shared" si="1"/>
        <v>0</v>
      </c>
      <c r="AO10" s="12" t="s">
        <v>158</v>
      </c>
      <c r="AP10" s="12" t="str">
        <f>IFERROR(VLOOKUP(AN10,AUG!$F$23:$H$38,3,FALSE),"")</f>
        <v/>
      </c>
    </row>
    <row r="11" spans="2:42" ht="13.5" customHeight="1">
      <c r="B11" s="15" t="s">
        <v>157</v>
      </c>
      <c r="C11" s="16">
        <f>SUM(AUG!$C$23:$C$38)</f>
        <v>0</v>
      </c>
      <c r="D11" s="17">
        <f>SUM(AUG!$D$23:$D$38)</f>
        <v>0</v>
      </c>
      <c r="V11" s="12">
        <v>4</v>
      </c>
      <c r="W11" s="12" t="str">
        <f t="shared" si="2"/>
        <v/>
      </c>
      <c r="X11" s="12" t="str">
        <f t="shared" si="3"/>
        <v/>
      </c>
      <c r="AM11" s="12" t="str">
        <f t="shared" si="0"/>
        <v/>
      </c>
      <c r="AN11" s="12">
        <f t="shared" si="1"/>
        <v>0</v>
      </c>
      <c r="AO11" s="12" t="s">
        <v>158</v>
      </c>
      <c r="AP11" s="12" t="str">
        <f>IFERROR(VLOOKUP(AN11,AUG!$F$23:$H$38,3,FALSE),"")</f>
        <v/>
      </c>
    </row>
    <row r="12" spans="2:42" ht="13.5" customHeight="1">
      <c r="B12" s="15" t="s">
        <v>158</v>
      </c>
      <c r="C12" s="16">
        <f>SUM(AUG!$G$23:$G$38)</f>
        <v>0</v>
      </c>
      <c r="D12" s="17">
        <f>SUM(AUG!$H$23:$H$38)</f>
        <v>0</v>
      </c>
      <c r="V12" s="12">
        <v>5</v>
      </c>
      <c r="W12" s="12" t="str">
        <f t="shared" si="2"/>
        <v/>
      </c>
      <c r="X12" s="12" t="str">
        <f t="shared" si="3"/>
        <v/>
      </c>
      <c r="AM12" s="12" t="str">
        <f t="shared" si="0"/>
        <v/>
      </c>
      <c r="AN12" s="12">
        <f t="shared" si="1"/>
        <v>0</v>
      </c>
      <c r="AO12" s="12" t="s">
        <v>158</v>
      </c>
      <c r="AP12" s="12" t="str">
        <f>IFERROR(VLOOKUP(AN12,AUG!$F$23:$H$38,3,FALSE),"")</f>
        <v/>
      </c>
    </row>
    <row r="13" spans="2:42" ht="13.5" customHeight="1">
      <c r="B13" s="15" t="s">
        <v>159</v>
      </c>
      <c r="C13" s="16">
        <f>SUM(AUG!$L$23:$L$38)</f>
        <v>0</v>
      </c>
      <c r="D13" s="17">
        <f>SUM(AUG!$M$23:$M$38)</f>
        <v>0</v>
      </c>
      <c r="V13" s="12">
        <v>6</v>
      </c>
      <c r="W13" s="12" t="str">
        <f t="shared" si="2"/>
        <v/>
      </c>
      <c r="X13" s="12" t="str">
        <f t="shared" si="3"/>
        <v/>
      </c>
      <c r="AM13" s="12" t="str">
        <f t="shared" si="0"/>
        <v/>
      </c>
      <c r="AN13" s="12">
        <f t="shared" si="1"/>
        <v>0</v>
      </c>
      <c r="AO13" s="12" t="s">
        <v>158</v>
      </c>
      <c r="AP13" s="12" t="str">
        <f>IFERROR(VLOOKUP(AN13,AUG!$F$23:$H$38,3,FALSE),"")</f>
        <v/>
      </c>
    </row>
    <row r="14" spans="2:42" ht="13.5" customHeight="1">
      <c r="B14" s="15" t="s">
        <v>160</v>
      </c>
      <c r="C14" s="16">
        <f>SUM(AUG!$Q$23:$Q$38)</f>
        <v>0</v>
      </c>
      <c r="D14" s="17">
        <f>SUM(AUG!$R$23:$R$38)</f>
        <v>0</v>
      </c>
      <c r="V14" s="12">
        <v>7</v>
      </c>
      <c r="W14" s="12" t="str">
        <f t="shared" si="2"/>
        <v/>
      </c>
      <c r="X14" s="12" t="str">
        <f t="shared" si="3"/>
        <v/>
      </c>
      <c r="AM14" s="12" t="str">
        <f t="shared" si="0"/>
        <v/>
      </c>
      <c r="AN14" s="12">
        <f t="shared" si="1"/>
        <v>0</v>
      </c>
      <c r="AO14" s="12" t="s">
        <v>158</v>
      </c>
      <c r="AP14" s="12" t="str">
        <f>IFERROR(VLOOKUP(AN14,AUG!$F$23:$H$38,3,FALSE),"")</f>
        <v/>
      </c>
    </row>
    <row r="15" spans="2:42" ht="13.5" customHeight="1">
      <c r="B15" s="18" t="s">
        <v>161</v>
      </c>
      <c r="C15" s="19">
        <f>SUM(AUG!$V$23:$V$38)</f>
        <v>0</v>
      </c>
      <c r="D15" s="20">
        <f>SUM(AUG!$W$23:$W$38)</f>
        <v>0</v>
      </c>
      <c r="V15" s="12">
        <v>8</v>
      </c>
      <c r="W15" s="12" t="str">
        <f t="shared" si="2"/>
        <v/>
      </c>
      <c r="X15" s="12" t="str">
        <f t="shared" si="3"/>
        <v/>
      </c>
      <c r="AM15" s="12" t="str">
        <f t="shared" si="0"/>
        <v/>
      </c>
      <c r="AN15" s="12">
        <f t="shared" si="1"/>
        <v>0</v>
      </c>
      <c r="AO15" s="12" t="s">
        <v>158</v>
      </c>
      <c r="AP15" s="12" t="str">
        <f>IFERROR(VLOOKUP(AN15,AUG!$F$23:$H$38,3,FALSE),"")</f>
        <v/>
      </c>
    </row>
    <row r="16" spans="2:42" ht="13.5" customHeight="1">
      <c r="B16" s="21" t="s">
        <v>172</v>
      </c>
      <c r="C16" s="22">
        <f t="shared" ref="C16:D16" si="4">(C11-SUM(C12:C15))</f>
        <v>0</v>
      </c>
      <c r="D16" s="22">
        <f t="shared" si="4"/>
        <v>0</v>
      </c>
      <c r="V16" s="12">
        <v>9</v>
      </c>
      <c r="W16" s="12" t="str">
        <f t="shared" si="2"/>
        <v/>
      </c>
      <c r="X16" s="12" t="str">
        <f t="shared" si="3"/>
        <v/>
      </c>
      <c r="AM16" s="12" t="str">
        <f t="shared" si="0"/>
        <v/>
      </c>
      <c r="AN16" s="12">
        <f t="shared" si="1"/>
        <v>0</v>
      </c>
      <c r="AO16" s="12" t="s">
        <v>158</v>
      </c>
      <c r="AP16" s="12" t="str">
        <f>IFERROR(VLOOKUP(AN16,AUG!$F$23:$H$38,3,FALSE),"")</f>
        <v/>
      </c>
    </row>
    <row r="17" spans="2:42" ht="13.5" customHeight="1">
      <c r="C17" s="16"/>
      <c r="D17" s="16"/>
      <c r="V17" s="12">
        <v>10</v>
      </c>
      <c r="W17" s="12" t="str">
        <f t="shared" si="2"/>
        <v/>
      </c>
      <c r="X17" s="12" t="str">
        <f t="shared" si="3"/>
        <v/>
      </c>
      <c r="AM17" s="12" t="str">
        <f t="shared" si="0"/>
        <v/>
      </c>
      <c r="AN17" s="12">
        <f t="shared" si="1"/>
        <v>0</v>
      </c>
      <c r="AO17" s="12" t="s">
        <v>158</v>
      </c>
      <c r="AP17" s="12" t="str">
        <f>IFERROR(VLOOKUP(AN17,AUG!$F$23:$H$38,3,FALSE),"")</f>
        <v/>
      </c>
    </row>
    <row r="18" spans="2:42" ht="13.5" customHeight="1">
      <c r="V18" s="12">
        <v>11</v>
      </c>
      <c r="W18" s="12" t="str">
        <f t="shared" si="2"/>
        <v/>
      </c>
      <c r="X18" s="12" t="str">
        <f t="shared" si="3"/>
        <v/>
      </c>
      <c r="AM18" s="12" t="str">
        <f t="shared" si="0"/>
        <v/>
      </c>
      <c r="AN18" s="12">
        <f t="shared" si="1"/>
        <v>0</v>
      </c>
      <c r="AO18" s="12" t="s">
        <v>158</v>
      </c>
      <c r="AP18" s="12" t="str">
        <f>IFERROR(VLOOKUP(AN18,AUG!$F$23:$H$38,3,FALSE),"")</f>
        <v/>
      </c>
    </row>
    <row r="19" spans="2:42" ht="14.25" customHeight="1">
      <c r="AM19" s="12" t="str">
        <f t="shared" si="0"/>
        <v/>
      </c>
      <c r="AN19" s="12">
        <f t="shared" ref="AN19:AN34" si="5">K23</f>
        <v>0</v>
      </c>
      <c r="AO19" s="12" t="s">
        <v>159</v>
      </c>
      <c r="AP19" s="12" t="str">
        <f>IFERROR(VLOOKUP(AN19,AUG!$K$23:$M$38,3,FALSE),"")</f>
        <v/>
      </c>
    </row>
    <row r="20" spans="2:42" ht="14.25" customHeight="1">
      <c r="B20" s="29" t="s">
        <v>157</v>
      </c>
      <c r="C20" s="30"/>
      <c r="D20" s="25"/>
      <c r="F20" s="29" t="s">
        <v>158</v>
      </c>
      <c r="G20" s="30"/>
      <c r="H20" s="30"/>
      <c r="I20" s="25"/>
      <c r="K20" s="29" t="s">
        <v>159</v>
      </c>
      <c r="L20" s="30"/>
      <c r="M20" s="30"/>
      <c r="N20" s="25"/>
      <c r="P20" s="49" t="s">
        <v>160</v>
      </c>
      <c r="Q20" s="30"/>
      <c r="R20" s="30"/>
      <c r="S20" s="25"/>
      <c r="U20" s="34" t="s">
        <v>161</v>
      </c>
      <c r="V20" s="30"/>
      <c r="W20" s="30"/>
      <c r="X20" s="25"/>
      <c r="AM20" s="12" t="str">
        <f t="shared" si="0"/>
        <v/>
      </c>
      <c r="AN20" s="12">
        <f t="shared" si="5"/>
        <v>0</v>
      </c>
      <c r="AO20" s="12" t="s">
        <v>159</v>
      </c>
      <c r="AP20" s="12" t="str">
        <f>IFERROR(VLOOKUP(AN20,AUG!$K$23:$M$38,3,FALSE),"")</f>
        <v/>
      </c>
    </row>
    <row r="21" spans="2:42" ht="14.25" customHeight="1">
      <c r="B21" s="35"/>
      <c r="C21" s="36"/>
      <c r="D21" s="37"/>
      <c r="F21" s="35"/>
      <c r="G21" s="36"/>
      <c r="H21" s="36"/>
      <c r="I21" s="37"/>
      <c r="K21" s="35"/>
      <c r="L21" s="36"/>
      <c r="M21" s="36"/>
      <c r="N21" s="37"/>
      <c r="P21" s="35"/>
      <c r="Q21" s="36"/>
      <c r="R21" s="36"/>
      <c r="S21" s="37"/>
      <c r="U21" s="35"/>
      <c r="V21" s="36"/>
      <c r="W21" s="36"/>
      <c r="X21" s="37"/>
      <c r="AM21" s="12" t="str">
        <f t="shared" si="0"/>
        <v/>
      </c>
      <c r="AN21" s="12">
        <f t="shared" si="5"/>
        <v>0</v>
      </c>
      <c r="AO21" s="12" t="s">
        <v>159</v>
      </c>
      <c r="AP21" s="12" t="str">
        <f>IFERROR(VLOOKUP(AN21,AUG!$K$23:$M$38,3,FALSE),"")</f>
        <v/>
      </c>
    </row>
    <row r="22" spans="2:42" ht="14.25" customHeight="1">
      <c r="B22" s="15" t="s">
        <v>173</v>
      </c>
      <c r="C22" s="10" t="s">
        <v>170</v>
      </c>
      <c r="D22" s="23" t="s">
        <v>171</v>
      </c>
      <c r="F22" s="15" t="s">
        <v>173</v>
      </c>
      <c r="G22" s="10" t="s">
        <v>170</v>
      </c>
      <c r="H22" s="10" t="s">
        <v>171</v>
      </c>
      <c r="I22" s="23" t="s">
        <v>174</v>
      </c>
      <c r="K22" s="15" t="s">
        <v>173</v>
      </c>
      <c r="L22" s="10" t="s">
        <v>170</v>
      </c>
      <c r="M22" s="10" t="s">
        <v>171</v>
      </c>
      <c r="N22" s="23" t="s">
        <v>174</v>
      </c>
      <c r="P22" s="15" t="s">
        <v>173</v>
      </c>
      <c r="Q22" s="10" t="s">
        <v>170</v>
      </c>
      <c r="R22" s="10" t="s">
        <v>171</v>
      </c>
      <c r="S22" s="23" t="s">
        <v>174</v>
      </c>
      <c r="U22" s="15" t="s">
        <v>173</v>
      </c>
      <c r="V22" s="10" t="s">
        <v>170</v>
      </c>
      <c r="W22" s="10" t="s">
        <v>171</v>
      </c>
      <c r="X22" s="23" t="s">
        <v>174</v>
      </c>
      <c r="AM22" s="12" t="str">
        <f t="shared" si="0"/>
        <v/>
      </c>
      <c r="AN22" s="12">
        <f t="shared" si="5"/>
        <v>0</v>
      </c>
      <c r="AO22" s="12" t="s">
        <v>159</v>
      </c>
      <c r="AP22" s="12" t="str">
        <f>IFERROR(VLOOKUP(AN22,AUG!$K$23:$M$38,3,FALSE),"")</f>
        <v/>
      </c>
    </row>
    <row r="23" spans="2:42" ht="14.25" customHeight="1">
      <c r="B23" s="15"/>
      <c r="C23" s="16"/>
      <c r="D23" s="17"/>
      <c r="F23" s="15"/>
      <c r="G23" s="16"/>
      <c r="H23" s="16"/>
      <c r="I23" s="17">
        <f>AUG!$G23-AUG!$H23</f>
        <v>0</v>
      </c>
      <c r="K23" s="15"/>
      <c r="L23" s="16"/>
      <c r="M23" s="16"/>
      <c r="N23" s="17">
        <f>AUG!$L23-AUG!$M23</f>
        <v>0</v>
      </c>
      <c r="P23" s="15"/>
      <c r="Q23" s="16"/>
      <c r="R23" s="16"/>
      <c r="S23" s="17">
        <f>AUG!$Q23-AUG!$R23</f>
        <v>0</v>
      </c>
      <c r="U23" s="15"/>
      <c r="V23" s="16"/>
      <c r="W23" s="16"/>
      <c r="X23" s="17">
        <f>AUG!$V23-AUG!$W23</f>
        <v>0</v>
      </c>
      <c r="AM23" s="12" t="str">
        <f t="shared" si="0"/>
        <v/>
      </c>
      <c r="AN23" s="12">
        <f t="shared" si="5"/>
        <v>0</v>
      </c>
      <c r="AO23" s="12" t="s">
        <v>159</v>
      </c>
      <c r="AP23" s="12" t="str">
        <f>IFERROR(VLOOKUP(AN23,AUG!$K$23:$M$38,3,FALSE),"")</f>
        <v/>
      </c>
    </row>
    <row r="24" spans="2:42" ht="14.25" customHeight="1">
      <c r="B24" s="15"/>
      <c r="C24" s="16"/>
      <c r="D24" s="17"/>
      <c r="F24" s="15"/>
      <c r="G24" s="16"/>
      <c r="H24" s="16"/>
      <c r="I24" s="17">
        <f>AUG!$G24-AUG!$H24</f>
        <v>0</v>
      </c>
      <c r="K24" s="15"/>
      <c r="L24" s="16"/>
      <c r="M24" s="16"/>
      <c r="N24" s="17">
        <f>AUG!$L24-AUG!$M24</f>
        <v>0</v>
      </c>
      <c r="P24" s="15"/>
      <c r="Q24" s="16"/>
      <c r="R24" s="16"/>
      <c r="S24" s="17">
        <f>AUG!$Q24-AUG!$R24</f>
        <v>0</v>
      </c>
      <c r="U24" s="15"/>
      <c r="V24" s="16"/>
      <c r="W24" s="16"/>
      <c r="X24" s="17">
        <f>AUG!$V24-AUG!$W24</f>
        <v>0</v>
      </c>
      <c r="AM24" s="12" t="str">
        <f t="shared" si="0"/>
        <v/>
      </c>
      <c r="AN24" s="12">
        <f t="shared" si="5"/>
        <v>0</v>
      </c>
      <c r="AO24" s="12" t="s">
        <v>159</v>
      </c>
      <c r="AP24" s="12" t="str">
        <f>IFERROR(VLOOKUP(AN24,AUG!$K$23:$M$38,3,FALSE),"")</f>
        <v/>
      </c>
    </row>
    <row r="25" spans="2:42" ht="14.25" customHeight="1">
      <c r="B25" s="15"/>
      <c r="C25" s="16"/>
      <c r="D25" s="17"/>
      <c r="F25" s="15"/>
      <c r="G25" s="16"/>
      <c r="H25" s="16"/>
      <c r="I25" s="17">
        <f>AUG!$G25-AUG!$H25</f>
        <v>0</v>
      </c>
      <c r="K25" s="15"/>
      <c r="L25" s="16"/>
      <c r="M25" s="16"/>
      <c r="N25" s="17">
        <f>AUG!$L25-AUG!$M25</f>
        <v>0</v>
      </c>
      <c r="P25" s="15"/>
      <c r="Q25" s="16"/>
      <c r="R25" s="16"/>
      <c r="S25" s="17">
        <f>AUG!$Q25-AUG!$R25</f>
        <v>0</v>
      </c>
      <c r="U25" s="15"/>
      <c r="V25" s="16"/>
      <c r="W25" s="16"/>
      <c r="X25" s="17">
        <f>AUG!$V25-AUG!$W25</f>
        <v>0</v>
      </c>
      <c r="AM25" s="12" t="str">
        <f t="shared" si="0"/>
        <v/>
      </c>
      <c r="AN25" s="12">
        <f t="shared" si="5"/>
        <v>0</v>
      </c>
      <c r="AO25" s="12" t="s">
        <v>159</v>
      </c>
      <c r="AP25" s="12" t="str">
        <f>IFERROR(VLOOKUP(AN25,AUG!$K$23:$M$38,3,FALSE),"")</f>
        <v/>
      </c>
    </row>
    <row r="26" spans="2:42" ht="14.25" customHeight="1">
      <c r="B26" s="15"/>
      <c r="C26" s="16"/>
      <c r="D26" s="17"/>
      <c r="F26" s="15"/>
      <c r="G26" s="16"/>
      <c r="H26" s="16"/>
      <c r="I26" s="17">
        <f>AUG!$G26-AUG!$H26</f>
        <v>0</v>
      </c>
      <c r="K26" s="15"/>
      <c r="L26" s="16"/>
      <c r="M26" s="16"/>
      <c r="N26" s="17">
        <f>AUG!$L26-AUG!$M26</f>
        <v>0</v>
      </c>
      <c r="P26" s="15"/>
      <c r="Q26" s="16"/>
      <c r="R26" s="16"/>
      <c r="S26" s="17">
        <f>AUG!$Q26-AUG!$R26</f>
        <v>0</v>
      </c>
      <c r="U26" s="15"/>
      <c r="V26" s="16"/>
      <c r="W26" s="16"/>
      <c r="X26" s="17">
        <f>AUG!$V26-AUG!$W26</f>
        <v>0</v>
      </c>
      <c r="AM26" s="12" t="str">
        <f t="shared" si="0"/>
        <v/>
      </c>
      <c r="AN26" s="12">
        <f t="shared" si="5"/>
        <v>0</v>
      </c>
      <c r="AO26" s="12" t="s">
        <v>159</v>
      </c>
      <c r="AP26" s="12" t="str">
        <f>IFERROR(VLOOKUP(AN26,AUG!$K$23:$M$38,3,FALSE),"")</f>
        <v/>
      </c>
    </row>
    <row r="27" spans="2:42" ht="14.25" customHeight="1">
      <c r="B27" s="15"/>
      <c r="C27" s="16"/>
      <c r="D27" s="17"/>
      <c r="F27" s="15"/>
      <c r="G27" s="16"/>
      <c r="H27" s="16"/>
      <c r="I27" s="17">
        <f>AUG!$G27-AUG!$H27</f>
        <v>0</v>
      </c>
      <c r="K27" s="15"/>
      <c r="L27" s="16"/>
      <c r="M27" s="16"/>
      <c r="N27" s="17">
        <f>AUG!$L27-AUG!$M27</f>
        <v>0</v>
      </c>
      <c r="P27" s="15"/>
      <c r="Q27" s="16"/>
      <c r="R27" s="16"/>
      <c r="S27" s="17">
        <f>AUG!$Q27-AUG!$R27</f>
        <v>0</v>
      </c>
      <c r="U27" s="15"/>
      <c r="V27" s="16"/>
      <c r="W27" s="16"/>
      <c r="X27" s="17">
        <f>AUG!$V27-AUG!$W27</f>
        <v>0</v>
      </c>
      <c r="AM27" s="12" t="str">
        <f t="shared" si="0"/>
        <v/>
      </c>
      <c r="AN27" s="12">
        <f t="shared" si="5"/>
        <v>0</v>
      </c>
      <c r="AO27" s="12" t="s">
        <v>159</v>
      </c>
      <c r="AP27" s="12" t="str">
        <f>IFERROR(VLOOKUP(AN27,AUG!$K$23:$M$38,3,FALSE),"")</f>
        <v/>
      </c>
    </row>
    <row r="28" spans="2:42" ht="14.25" customHeight="1">
      <c r="B28" s="15"/>
      <c r="C28" s="16"/>
      <c r="D28" s="17"/>
      <c r="F28" s="15"/>
      <c r="G28" s="16"/>
      <c r="H28" s="16"/>
      <c r="I28" s="17">
        <f>AUG!$G28-AUG!$H28</f>
        <v>0</v>
      </c>
      <c r="K28" s="15"/>
      <c r="L28" s="16"/>
      <c r="M28" s="16"/>
      <c r="N28" s="17">
        <f>AUG!$L28-AUG!$M28</f>
        <v>0</v>
      </c>
      <c r="P28" s="15"/>
      <c r="Q28" s="16"/>
      <c r="R28" s="16"/>
      <c r="S28" s="17">
        <f>AUG!$Q28-AUG!$R28</f>
        <v>0</v>
      </c>
      <c r="U28" s="15"/>
      <c r="V28" s="16"/>
      <c r="W28" s="16"/>
      <c r="X28" s="17">
        <f>AUG!$V28-AUG!$W28</f>
        <v>0</v>
      </c>
      <c r="AM28" s="12" t="str">
        <f t="shared" si="0"/>
        <v/>
      </c>
      <c r="AN28" s="12">
        <f t="shared" si="5"/>
        <v>0</v>
      </c>
      <c r="AO28" s="12" t="s">
        <v>159</v>
      </c>
      <c r="AP28" s="12" t="str">
        <f>IFERROR(VLOOKUP(AN28,AUG!$K$23:$M$38,3,FALSE),"")</f>
        <v/>
      </c>
    </row>
    <row r="29" spans="2:42" ht="14.25" customHeight="1">
      <c r="B29" s="15"/>
      <c r="C29" s="16"/>
      <c r="D29" s="17"/>
      <c r="F29" s="15"/>
      <c r="G29" s="16"/>
      <c r="H29" s="16"/>
      <c r="I29" s="17">
        <f>AUG!$G29-AUG!$H29</f>
        <v>0</v>
      </c>
      <c r="K29" s="15"/>
      <c r="L29" s="16"/>
      <c r="M29" s="16"/>
      <c r="N29" s="17">
        <f>AUG!$L29-AUG!$M29</f>
        <v>0</v>
      </c>
      <c r="P29" s="15"/>
      <c r="Q29" s="16"/>
      <c r="R29" s="16"/>
      <c r="S29" s="17">
        <f>AUG!$Q29-AUG!$R29</f>
        <v>0</v>
      </c>
      <c r="U29" s="15"/>
      <c r="V29" s="16"/>
      <c r="W29" s="16"/>
      <c r="X29" s="17">
        <f>AUG!$V29-AUG!$W29</f>
        <v>0</v>
      </c>
      <c r="AM29" s="12" t="str">
        <f t="shared" si="0"/>
        <v/>
      </c>
      <c r="AN29" s="12">
        <f t="shared" si="5"/>
        <v>0</v>
      </c>
      <c r="AO29" s="12" t="s">
        <v>159</v>
      </c>
      <c r="AP29" s="12" t="str">
        <f>IFERROR(VLOOKUP(AN29,AUG!$K$23:$M$38,3,FALSE),"")</f>
        <v/>
      </c>
    </row>
    <row r="30" spans="2:42" ht="14.25" customHeight="1">
      <c r="B30" s="15"/>
      <c r="C30" s="16"/>
      <c r="D30" s="17"/>
      <c r="F30" s="15"/>
      <c r="G30" s="16"/>
      <c r="H30" s="16"/>
      <c r="I30" s="17">
        <f>AUG!$G30-AUG!$H30</f>
        <v>0</v>
      </c>
      <c r="K30" s="15"/>
      <c r="L30" s="16"/>
      <c r="M30" s="16"/>
      <c r="N30" s="17">
        <f>AUG!$L30-AUG!$M30</f>
        <v>0</v>
      </c>
      <c r="P30" s="15"/>
      <c r="Q30" s="16"/>
      <c r="R30" s="16"/>
      <c r="S30" s="17">
        <f>AUG!$Q30-AUG!$R30</f>
        <v>0</v>
      </c>
      <c r="U30" s="15"/>
      <c r="V30" s="16"/>
      <c r="W30" s="16"/>
      <c r="X30" s="17">
        <f>AUG!$V30-AUG!$W30</f>
        <v>0</v>
      </c>
      <c r="AM30" s="12" t="str">
        <f t="shared" si="0"/>
        <v/>
      </c>
      <c r="AN30" s="12">
        <f t="shared" si="5"/>
        <v>0</v>
      </c>
      <c r="AO30" s="12" t="s">
        <v>159</v>
      </c>
      <c r="AP30" s="12" t="str">
        <f>IFERROR(VLOOKUP(AN30,AUG!$K$23:$M$38,3,FALSE),"")</f>
        <v/>
      </c>
    </row>
    <row r="31" spans="2:42" ht="14.25" customHeight="1">
      <c r="B31" s="15"/>
      <c r="C31" s="16"/>
      <c r="D31" s="17"/>
      <c r="F31" s="15"/>
      <c r="G31" s="16"/>
      <c r="H31" s="16"/>
      <c r="I31" s="17">
        <f>AUG!$G31-AUG!$H31</f>
        <v>0</v>
      </c>
      <c r="K31" s="15"/>
      <c r="L31" s="16"/>
      <c r="M31" s="16"/>
      <c r="N31" s="17">
        <f>AUG!$L31-AUG!$M31</f>
        <v>0</v>
      </c>
      <c r="P31" s="15"/>
      <c r="Q31" s="16"/>
      <c r="R31" s="16"/>
      <c r="S31" s="17">
        <f>AUG!$Q31-AUG!$R31</f>
        <v>0</v>
      </c>
      <c r="U31" s="15"/>
      <c r="V31" s="16"/>
      <c r="W31" s="16"/>
      <c r="X31" s="17">
        <f>AUG!$V31-AUG!$W31</f>
        <v>0</v>
      </c>
      <c r="AM31" s="12" t="str">
        <f t="shared" si="0"/>
        <v/>
      </c>
      <c r="AN31" s="12">
        <f t="shared" si="5"/>
        <v>0</v>
      </c>
      <c r="AO31" s="12" t="s">
        <v>159</v>
      </c>
      <c r="AP31" s="12" t="str">
        <f>IFERROR(VLOOKUP(AN31,AUG!$K$23:$M$38,3,FALSE),"")</f>
        <v/>
      </c>
    </row>
    <row r="32" spans="2:42" ht="14.25" customHeight="1">
      <c r="B32" s="15"/>
      <c r="C32" s="16"/>
      <c r="D32" s="17"/>
      <c r="F32" s="15"/>
      <c r="G32" s="16"/>
      <c r="H32" s="16"/>
      <c r="I32" s="17">
        <f>AUG!$G32-AUG!$H32</f>
        <v>0</v>
      </c>
      <c r="K32" s="15"/>
      <c r="L32" s="16"/>
      <c r="M32" s="16"/>
      <c r="N32" s="17">
        <f>AUG!$L32-AUG!$M32</f>
        <v>0</v>
      </c>
      <c r="P32" s="15"/>
      <c r="Q32" s="16"/>
      <c r="R32" s="16"/>
      <c r="S32" s="17">
        <f>AUG!$Q32-AUG!$R32</f>
        <v>0</v>
      </c>
      <c r="U32" s="15"/>
      <c r="V32" s="16"/>
      <c r="W32" s="16"/>
      <c r="X32" s="17">
        <f>AUG!$V32-AUG!$W32</f>
        <v>0</v>
      </c>
      <c r="AM32" s="12" t="str">
        <f t="shared" si="0"/>
        <v/>
      </c>
      <c r="AN32" s="12">
        <f t="shared" si="5"/>
        <v>0</v>
      </c>
      <c r="AO32" s="12" t="s">
        <v>159</v>
      </c>
      <c r="AP32" s="12" t="str">
        <f>IFERROR(VLOOKUP(AN32,AUG!$K$23:$M$38,3,FALSE),"")</f>
        <v/>
      </c>
    </row>
    <row r="33" spans="2:42" ht="14.25" customHeight="1">
      <c r="B33" s="15"/>
      <c r="C33" s="16"/>
      <c r="D33" s="17"/>
      <c r="F33" s="15"/>
      <c r="G33" s="16"/>
      <c r="H33" s="16"/>
      <c r="I33" s="17">
        <f>AUG!$G33-AUG!$H33</f>
        <v>0</v>
      </c>
      <c r="K33" s="15"/>
      <c r="L33" s="16"/>
      <c r="M33" s="16"/>
      <c r="N33" s="17">
        <f>AUG!$L33-AUG!$M33</f>
        <v>0</v>
      </c>
      <c r="P33" s="15"/>
      <c r="Q33" s="16"/>
      <c r="R33" s="16"/>
      <c r="S33" s="17">
        <f>AUG!$Q33-AUG!$R33</f>
        <v>0</v>
      </c>
      <c r="U33" s="15"/>
      <c r="V33" s="16"/>
      <c r="W33" s="16"/>
      <c r="X33" s="17">
        <f>AUG!$V33-AUG!$W33</f>
        <v>0</v>
      </c>
      <c r="AM33" s="12" t="str">
        <f t="shared" si="0"/>
        <v/>
      </c>
      <c r="AN33" s="12">
        <f t="shared" si="5"/>
        <v>0</v>
      </c>
      <c r="AO33" s="12" t="s">
        <v>159</v>
      </c>
      <c r="AP33" s="12" t="str">
        <f>IFERROR(VLOOKUP(AN33,AUG!$K$23:$M$38,3,FALSE),"")</f>
        <v/>
      </c>
    </row>
    <row r="34" spans="2:42" ht="14.25" customHeight="1">
      <c r="B34" s="15"/>
      <c r="C34" s="16"/>
      <c r="D34" s="17"/>
      <c r="F34" s="15"/>
      <c r="G34" s="16"/>
      <c r="H34" s="16"/>
      <c r="I34" s="17">
        <f>AUG!$G34-AUG!$H34</f>
        <v>0</v>
      </c>
      <c r="K34" s="15"/>
      <c r="L34" s="16"/>
      <c r="M34" s="16"/>
      <c r="N34" s="17">
        <f>AUG!$L34-AUG!$M34</f>
        <v>0</v>
      </c>
      <c r="P34" s="15"/>
      <c r="Q34" s="16"/>
      <c r="R34" s="16"/>
      <c r="S34" s="17">
        <f>AUG!$Q34-AUG!$R34</f>
        <v>0</v>
      </c>
      <c r="U34" s="15"/>
      <c r="V34" s="16"/>
      <c r="W34" s="16"/>
      <c r="X34" s="17">
        <f>AUG!$V34-AUG!$W34</f>
        <v>0</v>
      </c>
      <c r="AM34" s="12" t="str">
        <f t="shared" si="0"/>
        <v/>
      </c>
      <c r="AN34" s="12">
        <f t="shared" si="5"/>
        <v>0</v>
      </c>
      <c r="AO34" s="12" t="s">
        <v>175</v>
      </c>
      <c r="AP34" s="12" t="str">
        <f>IFERROR(VLOOKUP(AN34,AUG!$K$23:$M$38,3,FALSE),"")</f>
        <v/>
      </c>
    </row>
    <row r="35" spans="2:42" ht="14.25" customHeight="1">
      <c r="B35" s="15"/>
      <c r="C35" s="16"/>
      <c r="D35" s="17"/>
      <c r="F35" s="15"/>
      <c r="G35" s="16"/>
      <c r="H35" s="16"/>
      <c r="I35" s="17">
        <f>AUG!$G35-AUG!$H35</f>
        <v>0</v>
      </c>
      <c r="K35" s="15"/>
      <c r="L35" s="16"/>
      <c r="M35" s="16"/>
      <c r="N35" s="17">
        <f>AUG!$L35-AUG!$M35</f>
        <v>0</v>
      </c>
      <c r="P35" s="15"/>
      <c r="Q35" s="16"/>
      <c r="R35" s="16"/>
      <c r="S35" s="17">
        <f>AUG!$Q35-AUG!$R35</f>
        <v>0</v>
      </c>
      <c r="U35" s="15"/>
      <c r="V35" s="16"/>
      <c r="W35" s="16"/>
      <c r="X35" s="17">
        <f>AUG!$V35-AUG!$W35</f>
        <v>0</v>
      </c>
      <c r="AM35" s="12" t="str">
        <f t="shared" si="0"/>
        <v/>
      </c>
      <c r="AN35" s="12">
        <f t="shared" ref="AN35:AN49" si="6">P23</f>
        <v>0</v>
      </c>
      <c r="AO35" s="12" t="s">
        <v>175</v>
      </c>
      <c r="AP35" s="12" t="str">
        <f>IFERROR(VLOOKUP(AN35,AUG!$P$23:$R$38,3,FALSE),"")</f>
        <v/>
      </c>
    </row>
    <row r="36" spans="2:42" ht="14.25" customHeight="1">
      <c r="B36" s="15"/>
      <c r="C36" s="16"/>
      <c r="D36" s="17"/>
      <c r="F36" s="15"/>
      <c r="G36" s="16"/>
      <c r="H36" s="16"/>
      <c r="I36" s="17">
        <f>AUG!$G36-AUG!$H36</f>
        <v>0</v>
      </c>
      <c r="K36" s="15"/>
      <c r="L36" s="16"/>
      <c r="M36" s="16"/>
      <c r="N36" s="17">
        <f>AUG!$L36-AUG!$M36</f>
        <v>0</v>
      </c>
      <c r="P36" s="15"/>
      <c r="Q36" s="16"/>
      <c r="R36" s="16"/>
      <c r="S36" s="17">
        <f>AUG!$Q36-AUG!$R36</f>
        <v>0</v>
      </c>
      <c r="U36" s="15"/>
      <c r="V36" s="16"/>
      <c r="W36" s="16"/>
      <c r="X36" s="17">
        <f>AUG!$V36-AUG!$W36</f>
        <v>0</v>
      </c>
      <c r="AM36" s="12" t="str">
        <f t="shared" si="0"/>
        <v/>
      </c>
      <c r="AN36" s="12">
        <f t="shared" si="6"/>
        <v>0</v>
      </c>
      <c r="AO36" s="12" t="s">
        <v>175</v>
      </c>
      <c r="AP36" s="12" t="str">
        <f>IFERROR(VLOOKUP(AN36,AUG!$P$23:$R$38,3,FALSE),"")</f>
        <v/>
      </c>
    </row>
    <row r="37" spans="2:42" ht="14.25" customHeight="1">
      <c r="B37" s="15"/>
      <c r="C37" s="16"/>
      <c r="D37" s="17"/>
      <c r="F37" s="15"/>
      <c r="G37" s="16"/>
      <c r="H37" s="16"/>
      <c r="I37" s="17">
        <f>AUG!$G37-AUG!$H37</f>
        <v>0</v>
      </c>
      <c r="K37" s="15"/>
      <c r="L37" s="16"/>
      <c r="M37" s="16"/>
      <c r="N37" s="17">
        <f>AUG!$L37-AUG!$M37</f>
        <v>0</v>
      </c>
      <c r="P37" s="15"/>
      <c r="Q37" s="16"/>
      <c r="R37" s="16"/>
      <c r="S37" s="17">
        <f>AUG!$Q37-AUG!$R37</f>
        <v>0</v>
      </c>
      <c r="U37" s="15"/>
      <c r="V37" s="16"/>
      <c r="W37" s="16"/>
      <c r="X37" s="17">
        <f>AUG!$V37-AUG!$W37</f>
        <v>0</v>
      </c>
      <c r="AM37" s="12" t="str">
        <f t="shared" si="0"/>
        <v/>
      </c>
      <c r="AN37" s="12">
        <f t="shared" si="6"/>
        <v>0</v>
      </c>
      <c r="AO37" s="12" t="s">
        <v>175</v>
      </c>
      <c r="AP37" s="12" t="str">
        <f>IFERROR(VLOOKUP(AN37,AUG!$P$23:$R$38,3,FALSE),"")</f>
        <v/>
      </c>
    </row>
    <row r="38" spans="2:42" ht="14.25" customHeight="1">
      <c r="B38" s="18"/>
      <c r="C38" s="19"/>
      <c r="D38" s="20"/>
      <c r="F38" s="18"/>
      <c r="G38" s="19"/>
      <c r="H38" s="19"/>
      <c r="I38" s="20">
        <f>AUG!$G38-AUG!$H38</f>
        <v>0</v>
      </c>
      <c r="K38" s="18"/>
      <c r="L38" s="19"/>
      <c r="M38" s="19"/>
      <c r="N38" s="20">
        <f>AUG!$L38-AUG!$M38</f>
        <v>0</v>
      </c>
      <c r="P38" s="18"/>
      <c r="Q38" s="19"/>
      <c r="R38" s="19"/>
      <c r="S38" s="20">
        <f>AUG!$Q38-AUG!$R38</f>
        <v>0</v>
      </c>
      <c r="U38" s="18"/>
      <c r="V38" s="19"/>
      <c r="W38" s="19"/>
      <c r="X38" s="20">
        <f>AUG!$V38-AUG!$W38</f>
        <v>0</v>
      </c>
      <c r="AM38" s="12" t="str">
        <f t="shared" si="0"/>
        <v/>
      </c>
      <c r="AN38" s="12">
        <f t="shared" si="6"/>
        <v>0</v>
      </c>
      <c r="AO38" s="12" t="s">
        <v>175</v>
      </c>
      <c r="AP38" s="12" t="str">
        <f>IFERROR(VLOOKUP(AN38,AUG!$P$23:$R$38,3,FALSE),"")</f>
        <v/>
      </c>
    </row>
    <row r="39" spans="2:42" ht="14.25" customHeight="1">
      <c r="AM39" s="12" t="str">
        <f t="shared" si="0"/>
        <v/>
      </c>
      <c r="AN39" s="12">
        <f t="shared" si="6"/>
        <v>0</v>
      </c>
      <c r="AO39" s="12" t="s">
        <v>175</v>
      </c>
      <c r="AP39" s="12" t="str">
        <f>IFERROR(VLOOKUP(AN39,AUG!$P$23:$R$38,3,FALSE),"")</f>
        <v/>
      </c>
    </row>
    <row r="40" spans="2:42" ht="14.25" customHeight="1">
      <c r="AM40" s="12" t="str">
        <f t="shared" si="0"/>
        <v/>
      </c>
      <c r="AN40" s="12">
        <f t="shared" si="6"/>
        <v>0</v>
      </c>
      <c r="AO40" s="12" t="s">
        <v>175</v>
      </c>
      <c r="AP40" s="12" t="str">
        <f>IFERROR(VLOOKUP(AN40,AUG!$P$23:$R$38,3,FALSE),"")</f>
        <v/>
      </c>
    </row>
    <row r="41" spans="2:42" ht="14.25" customHeight="1">
      <c r="AM41" s="12" t="str">
        <f t="shared" si="0"/>
        <v/>
      </c>
      <c r="AN41" s="12">
        <f t="shared" si="6"/>
        <v>0</v>
      </c>
      <c r="AO41" s="12" t="s">
        <v>175</v>
      </c>
      <c r="AP41" s="12" t="str">
        <f>IFERROR(VLOOKUP(AN41,AUG!$P$23:$R$38,3,FALSE),"")</f>
        <v/>
      </c>
    </row>
    <row r="42" spans="2:42" ht="14.25" customHeight="1">
      <c r="AM42" s="12" t="str">
        <f t="shared" si="0"/>
        <v/>
      </c>
      <c r="AN42" s="12">
        <f t="shared" si="6"/>
        <v>0</v>
      </c>
      <c r="AO42" s="12" t="s">
        <v>175</v>
      </c>
      <c r="AP42" s="12" t="str">
        <f>IFERROR(VLOOKUP(AN42,AUG!$P$23:$R$38,3,FALSE),"")</f>
        <v/>
      </c>
    </row>
    <row r="43" spans="2:42" ht="14.25" customHeight="1">
      <c r="AM43" s="12" t="str">
        <f t="shared" si="0"/>
        <v/>
      </c>
      <c r="AN43" s="12">
        <f t="shared" si="6"/>
        <v>0</v>
      </c>
      <c r="AO43" s="12" t="s">
        <v>175</v>
      </c>
      <c r="AP43" s="12" t="str">
        <f>IFERROR(VLOOKUP(AN43,AUG!$P$23:$R$38,3,FALSE),"")</f>
        <v/>
      </c>
    </row>
    <row r="44" spans="2:42" ht="14.25" customHeight="1">
      <c r="AM44" s="12" t="str">
        <f t="shared" si="0"/>
        <v/>
      </c>
      <c r="AN44" s="12">
        <f t="shared" si="6"/>
        <v>0</v>
      </c>
      <c r="AO44" s="12" t="s">
        <v>175</v>
      </c>
      <c r="AP44" s="12" t="str">
        <f>IFERROR(VLOOKUP(AN44,AUG!$P$23:$R$38,3,FALSE),"")</f>
        <v/>
      </c>
    </row>
    <row r="45" spans="2:42" ht="14.25" customHeight="1">
      <c r="AM45" s="12" t="str">
        <f t="shared" si="0"/>
        <v/>
      </c>
      <c r="AN45" s="12">
        <f t="shared" si="6"/>
        <v>0</v>
      </c>
      <c r="AO45" s="12" t="s">
        <v>175</v>
      </c>
      <c r="AP45" s="12" t="str">
        <f>IFERROR(VLOOKUP(AN45,AUG!$P$23:$R$38,3,FALSE),"")</f>
        <v/>
      </c>
    </row>
    <row r="46" spans="2:42" ht="14.25" customHeight="1">
      <c r="AM46" s="12" t="str">
        <f t="shared" si="0"/>
        <v/>
      </c>
      <c r="AN46" s="12">
        <f t="shared" si="6"/>
        <v>0</v>
      </c>
      <c r="AO46" s="12" t="s">
        <v>175</v>
      </c>
      <c r="AP46" s="12" t="str">
        <f>IFERROR(VLOOKUP(AN46,AUG!$P$23:$R$38,3,FALSE),"")</f>
        <v/>
      </c>
    </row>
    <row r="47" spans="2:42" ht="14.25" customHeight="1">
      <c r="AM47" s="12" t="str">
        <f t="shared" si="0"/>
        <v/>
      </c>
      <c r="AN47" s="12">
        <f t="shared" si="6"/>
        <v>0</v>
      </c>
      <c r="AO47" s="12" t="s">
        <v>175</v>
      </c>
      <c r="AP47" s="12" t="str">
        <f>IFERROR(VLOOKUP(AN47,AUG!$P$23:$R$38,3,FALSE),"")</f>
        <v/>
      </c>
    </row>
    <row r="48" spans="2:42" ht="14.25" customHeight="1">
      <c r="AM48" s="12" t="str">
        <f t="shared" si="0"/>
        <v/>
      </c>
      <c r="AN48" s="12">
        <f t="shared" si="6"/>
        <v>0</v>
      </c>
      <c r="AO48" s="12" t="s">
        <v>175</v>
      </c>
      <c r="AP48" s="12" t="str">
        <f>IFERROR(VLOOKUP(AN48,AUG!$P$23:$R$38,3,FALSE),"")</f>
        <v/>
      </c>
    </row>
    <row r="49" spans="39:42" ht="14.25" customHeight="1">
      <c r="AM49" s="12" t="str">
        <f t="shared" si="0"/>
        <v/>
      </c>
      <c r="AN49" s="12">
        <f t="shared" si="6"/>
        <v>0</v>
      </c>
      <c r="AO49" s="12" t="s">
        <v>161</v>
      </c>
      <c r="AP49" s="12" t="str">
        <f>IFERROR(VLOOKUP(AN49,AUG!$P$23:$R$38,3,FALSE),"")</f>
        <v/>
      </c>
    </row>
    <row r="50" spans="39:42" ht="14.25" customHeight="1">
      <c r="AM50" s="12" t="str">
        <f t="shared" si="0"/>
        <v/>
      </c>
      <c r="AN50" s="12">
        <f t="shared" ref="AN50:AN65" si="7">U23</f>
        <v>0</v>
      </c>
      <c r="AO50" s="12" t="s">
        <v>161</v>
      </c>
      <c r="AP50" s="12" t="str">
        <f>IFERROR(VLOOKUP(AN50,AUG!$U$23:$W$38,3,FALSE),"")</f>
        <v/>
      </c>
    </row>
    <row r="51" spans="39:42" ht="14.25" customHeight="1">
      <c r="AM51" s="12" t="str">
        <f t="shared" si="0"/>
        <v/>
      </c>
      <c r="AN51" s="12">
        <f t="shared" si="7"/>
        <v>0</v>
      </c>
      <c r="AO51" s="12" t="s">
        <v>161</v>
      </c>
      <c r="AP51" s="12" t="str">
        <f>IFERROR(VLOOKUP(AN51,AUG!$U$23:$W$38,3,FALSE),"")</f>
        <v/>
      </c>
    </row>
    <row r="52" spans="39:42" ht="14.25" customHeight="1">
      <c r="AM52" s="12" t="str">
        <f t="shared" si="0"/>
        <v/>
      </c>
      <c r="AN52" s="12">
        <f t="shared" si="7"/>
        <v>0</v>
      </c>
      <c r="AO52" s="12" t="s">
        <v>161</v>
      </c>
      <c r="AP52" s="12" t="str">
        <f>IFERROR(VLOOKUP(AN52,AUG!$U$23:$W$38,3,FALSE),"")</f>
        <v/>
      </c>
    </row>
    <row r="53" spans="39:42" ht="14.25" customHeight="1">
      <c r="AM53" s="12" t="str">
        <f t="shared" si="0"/>
        <v/>
      </c>
      <c r="AN53" s="12">
        <f t="shared" si="7"/>
        <v>0</v>
      </c>
      <c r="AO53" s="12" t="s">
        <v>161</v>
      </c>
      <c r="AP53" s="12" t="str">
        <f>IFERROR(VLOOKUP(AN53,AUG!$U$23:$W$38,3,FALSE),"")</f>
        <v/>
      </c>
    </row>
    <row r="54" spans="39:42" ht="14.25" customHeight="1">
      <c r="AM54" s="12" t="str">
        <f t="shared" si="0"/>
        <v/>
      </c>
      <c r="AN54" s="12">
        <f t="shared" si="7"/>
        <v>0</v>
      </c>
      <c r="AO54" s="12" t="s">
        <v>161</v>
      </c>
      <c r="AP54" s="12" t="str">
        <f>IFERROR(VLOOKUP(AN54,AUG!$U$23:$W$38,3,FALSE),"")</f>
        <v/>
      </c>
    </row>
    <row r="55" spans="39:42" ht="14.25" customHeight="1">
      <c r="AM55" s="12" t="str">
        <f t="shared" si="0"/>
        <v/>
      </c>
      <c r="AN55" s="12">
        <f t="shared" si="7"/>
        <v>0</v>
      </c>
      <c r="AO55" s="12" t="s">
        <v>161</v>
      </c>
      <c r="AP55" s="12" t="str">
        <f>IFERROR(VLOOKUP(AN55,AUG!$U$23:$W$38,3,FALSE),"")</f>
        <v/>
      </c>
    </row>
    <row r="56" spans="39:42" ht="14.25" customHeight="1">
      <c r="AM56" s="12" t="str">
        <f t="shared" si="0"/>
        <v/>
      </c>
      <c r="AN56" s="12">
        <f t="shared" si="7"/>
        <v>0</v>
      </c>
      <c r="AO56" s="12" t="s">
        <v>161</v>
      </c>
      <c r="AP56" s="12" t="str">
        <f>IFERROR(VLOOKUP(AN56,AUG!$U$23:$W$38,3,FALSE),"")</f>
        <v/>
      </c>
    </row>
    <row r="57" spans="39:42" ht="14.25" customHeight="1">
      <c r="AM57" s="12" t="str">
        <f t="shared" si="0"/>
        <v/>
      </c>
      <c r="AN57" s="12">
        <f t="shared" si="7"/>
        <v>0</v>
      </c>
      <c r="AO57" s="12" t="s">
        <v>161</v>
      </c>
      <c r="AP57" s="12" t="str">
        <f>IFERROR(VLOOKUP(AN57,AUG!$U$23:$W$38,3,FALSE),"")</f>
        <v/>
      </c>
    </row>
    <row r="58" spans="39:42" ht="14.25" customHeight="1">
      <c r="AM58" s="12" t="str">
        <f t="shared" si="0"/>
        <v/>
      </c>
      <c r="AN58" s="12">
        <f t="shared" si="7"/>
        <v>0</v>
      </c>
      <c r="AO58" s="12" t="s">
        <v>161</v>
      </c>
      <c r="AP58" s="12" t="str">
        <f>IFERROR(VLOOKUP(AN58,AUG!$U$23:$W$38,3,FALSE),"")</f>
        <v/>
      </c>
    </row>
    <row r="59" spans="39:42" ht="14.25" customHeight="1">
      <c r="AM59" s="12" t="str">
        <f t="shared" si="0"/>
        <v/>
      </c>
      <c r="AN59" s="12">
        <f t="shared" si="7"/>
        <v>0</v>
      </c>
      <c r="AO59" s="12" t="s">
        <v>161</v>
      </c>
      <c r="AP59" s="12" t="str">
        <f>IFERROR(VLOOKUP(AN59,AUG!$U$23:$W$38,3,FALSE),"")</f>
        <v/>
      </c>
    </row>
    <row r="60" spans="39:42" ht="14.25" customHeight="1">
      <c r="AM60" s="12" t="str">
        <f t="shared" si="0"/>
        <v/>
      </c>
      <c r="AN60" s="12">
        <f t="shared" si="7"/>
        <v>0</v>
      </c>
      <c r="AO60" s="12" t="s">
        <v>161</v>
      </c>
      <c r="AP60" s="12" t="str">
        <f>IFERROR(VLOOKUP(AN60,AUG!$U$23:$W$38,3,FALSE),"")</f>
        <v/>
      </c>
    </row>
    <row r="61" spans="39:42" ht="14.25" customHeight="1">
      <c r="AM61" s="12" t="str">
        <f t="shared" si="0"/>
        <v/>
      </c>
      <c r="AN61" s="12">
        <f t="shared" si="7"/>
        <v>0</v>
      </c>
      <c r="AO61" s="12" t="s">
        <v>161</v>
      </c>
      <c r="AP61" s="12" t="str">
        <f>IFERROR(VLOOKUP(AN61,AUG!$U$23:$W$38,3,FALSE),"")</f>
        <v/>
      </c>
    </row>
    <row r="62" spans="39:42" ht="14.25" customHeight="1">
      <c r="AM62" s="12" t="str">
        <f t="shared" si="0"/>
        <v/>
      </c>
      <c r="AN62" s="12">
        <f t="shared" si="7"/>
        <v>0</v>
      </c>
      <c r="AO62" s="12" t="s">
        <v>161</v>
      </c>
      <c r="AP62" s="12" t="str">
        <f>IFERROR(VLOOKUP(AN62,AUG!$U$23:$W$38,3,FALSE),"")</f>
        <v/>
      </c>
    </row>
    <row r="63" spans="39:42" ht="14.25" customHeight="1">
      <c r="AM63" s="12" t="str">
        <f t="shared" si="0"/>
        <v/>
      </c>
      <c r="AN63" s="12">
        <f t="shared" si="7"/>
        <v>0</v>
      </c>
      <c r="AO63" s="12" t="s">
        <v>161</v>
      </c>
      <c r="AP63" s="12" t="str">
        <f>IFERROR(VLOOKUP(AN63,AUG!$U$23:$W$38,3,FALSE),"")</f>
        <v/>
      </c>
    </row>
    <row r="64" spans="39:42" ht="14.25" customHeight="1">
      <c r="AM64" s="12" t="str">
        <f t="shared" si="0"/>
        <v/>
      </c>
      <c r="AN64" s="12">
        <f t="shared" si="7"/>
        <v>0</v>
      </c>
      <c r="AO64" s="12" t="s">
        <v>161</v>
      </c>
      <c r="AP64" s="12" t="str">
        <f>IFERROR(VLOOKUP(AN64,AUG!$U$23:$W$38,3,FALSE),"")</f>
        <v/>
      </c>
    </row>
    <row r="65" spans="39:42" ht="14.25" customHeight="1">
      <c r="AM65" s="12" t="str">
        <f t="shared" si="0"/>
        <v/>
      </c>
      <c r="AN65" s="12">
        <f t="shared" si="7"/>
        <v>0</v>
      </c>
      <c r="AO65" s="12" t="s">
        <v>161</v>
      </c>
      <c r="AP65" s="12" t="str">
        <f>IFERROR(VLOOKUP(AN65,AUG!$U$23:$W$38,3,FALSE),"")</f>
        <v/>
      </c>
    </row>
    <row r="66" spans="39:42" ht="14.25" customHeight="1"/>
    <row r="67" spans="39:42" ht="14.25" customHeight="1"/>
    <row r="68" spans="39:42" ht="14.25" customHeight="1"/>
    <row r="69" spans="39:42" ht="14.25" customHeight="1"/>
    <row r="70" spans="39:42" ht="14.25" customHeight="1"/>
    <row r="71" spans="39:42" ht="14.25" customHeight="1"/>
    <row r="72" spans="39:42" ht="14.25" customHeight="1"/>
    <row r="73" spans="39:42" ht="14.25" customHeight="1"/>
    <row r="74" spans="39:42" ht="14.25" customHeight="1"/>
    <row r="75" spans="39:42" ht="14.25" customHeight="1"/>
    <row r="76" spans="39:42" ht="14.25" customHeight="1"/>
    <row r="77" spans="39:42" ht="14.25" customHeight="1"/>
    <row r="78" spans="39:42" ht="14.25" customHeight="1"/>
    <row r="79" spans="39:42" ht="14.25" customHeight="1"/>
    <row r="80" spans="39:4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N2:AP65" xr:uid="{00000000-0009-0000-0000-000009000000}"/>
  <mergeCells count="18">
    <mergeCell ref="B2:D4"/>
    <mergeCell ref="F2:H3"/>
    <mergeCell ref="J2:L3"/>
    <mergeCell ref="R2:T3"/>
    <mergeCell ref="F4:H5"/>
    <mergeCell ref="J4:L5"/>
    <mergeCell ref="R4:T5"/>
    <mergeCell ref="B5:D5"/>
    <mergeCell ref="B7:D9"/>
    <mergeCell ref="B20:D21"/>
    <mergeCell ref="F20:I21"/>
    <mergeCell ref="K20:N21"/>
    <mergeCell ref="N2:P3"/>
    <mergeCell ref="N4:P5"/>
    <mergeCell ref="V2:X3"/>
    <mergeCell ref="V4:X5"/>
    <mergeCell ref="U20:X21"/>
    <mergeCell ref="P20:S21"/>
  </mergeCells>
  <pageMargins left="0.7" right="0.7" top="0.75" bottom="0.75" header="0" footer="0"/>
  <pageSetup orientation="landscape"/>
  <drawing r:id="rId1"/>
  <tableParts count="5">
    <tablePart r:id="rId2"/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900-000000000000}">
          <x14:formula1>
            <xm:f>lists!$D$2:$D$21</xm:f>
          </x14:formula1>
          <xm:sqref>P23:P38</xm:sqref>
        </x14:dataValidation>
        <x14:dataValidation type="list" allowBlank="1" showErrorMessage="1" xr:uid="{00000000-0002-0000-0900-000001000000}">
          <x14:formula1>
            <xm:f>lists!$A$2:$A$35</xm:f>
          </x14:formula1>
          <xm:sqref>B23:B38</xm:sqref>
        </x14:dataValidation>
        <x14:dataValidation type="list" allowBlank="1" showErrorMessage="1" xr:uid="{00000000-0002-0000-0900-000002000000}">
          <x14:formula1>
            <xm:f>lists!$B$2:$B$24</xm:f>
          </x14:formula1>
          <xm:sqref>F23:F38</xm:sqref>
        </x14:dataValidation>
        <x14:dataValidation type="list" allowBlank="1" showErrorMessage="1" xr:uid="{00000000-0002-0000-0900-000003000000}">
          <x14:formula1>
            <xm:f>lists!$E$2:$E$25</xm:f>
          </x14:formula1>
          <xm:sqref>U23:U38</xm:sqref>
        </x14:dataValidation>
        <x14:dataValidation type="list" allowBlank="1" showErrorMessage="1" xr:uid="{00000000-0002-0000-0900-000004000000}">
          <x14:formula1>
            <xm:f>lists!$C$2:$C$32</xm:f>
          </x14:formula1>
          <xm:sqref>K23:K38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F5496"/>
  </sheetPr>
  <dimension ref="B1:AP1000"/>
  <sheetViews>
    <sheetView workbookViewId="0"/>
  </sheetViews>
  <sheetFormatPr defaultColWidth="14.3984375" defaultRowHeight="15" customHeight="1"/>
  <cols>
    <col min="1" max="1" width="3.3984375" customWidth="1"/>
    <col min="2" max="2" width="14.265625" customWidth="1"/>
    <col min="3" max="3" width="14.3984375" customWidth="1"/>
    <col min="4" max="4" width="15.3984375" customWidth="1"/>
    <col min="5" max="5" width="4.3984375" customWidth="1"/>
    <col min="6" max="6" width="12.1328125" customWidth="1"/>
    <col min="7" max="8" width="12.73046875" customWidth="1"/>
    <col min="9" max="9" width="11.73046875" customWidth="1"/>
    <col min="10" max="10" width="8.73046875" customWidth="1"/>
    <col min="11" max="11" width="10.1328125" customWidth="1"/>
    <col min="12" max="13" width="11.86328125" customWidth="1"/>
    <col min="14" max="14" width="11.73046875" customWidth="1"/>
    <col min="15" max="15" width="8.73046875" customWidth="1"/>
    <col min="16" max="16" width="13.86328125" customWidth="1"/>
    <col min="17" max="18" width="11.86328125" customWidth="1"/>
    <col min="19" max="19" width="11.73046875" customWidth="1"/>
    <col min="20" max="20" width="8.73046875" customWidth="1"/>
    <col min="21" max="21" width="16.265625" customWidth="1"/>
    <col min="22" max="22" width="13" customWidth="1"/>
    <col min="23" max="23" width="17.1328125" customWidth="1"/>
    <col min="24" max="24" width="13.86328125" customWidth="1"/>
    <col min="25" max="38" width="8.73046875" customWidth="1"/>
    <col min="39" max="39" width="8.73046875" hidden="1" customWidth="1"/>
    <col min="40" max="40" width="17.53125" hidden="1" customWidth="1"/>
    <col min="41" max="41" width="12.3984375" hidden="1" customWidth="1"/>
    <col min="42" max="42" width="14.86328125" hidden="1" customWidth="1"/>
  </cols>
  <sheetData>
    <row r="1" spans="2:42" ht="14.25" customHeight="1"/>
    <row r="2" spans="2:42" ht="19.5" customHeight="1">
      <c r="B2" s="50" t="s">
        <v>183</v>
      </c>
      <c r="C2" s="30"/>
      <c r="D2" s="25"/>
      <c r="F2" s="29" t="s">
        <v>157</v>
      </c>
      <c r="G2" s="30"/>
      <c r="H2" s="25"/>
      <c r="J2" s="29" t="s">
        <v>158</v>
      </c>
      <c r="K2" s="30"/>
      <c r="L2" s="25"/>
      <c r="N2" s="29" t="s">
        <v>159</v>
      </c>
      <c r="O2" s="30"/>
      <c r="P2" s="25"/>
      <c r="R2" s="49" t="s">
        <v>160</v>
      </c>
      <c r="S2" s="30"/>
      <c r="T2" s="25"/>
      <c r="V2" s="33" t="s">
        <v>161</v>
      </c>
      <c r="W2" s="30"/>
      <c r="X2" s="25"/>
      <c r="AM2" s="11" t="s">
        <v>162</v>
      </c>
      <c r="AN2" s="11" t="s">
        <v>163</v>
      </c>
      <c r="AO2" s="11" t="s">
        <v>164</v>
      </c>
      <c r="AP2" s="11" t="s">
        <v>165</v>
      </c>
    </row>
    <row r="3" spans="2:42" ht="19.5" customHeight="1">
      <c r="B3" s="51"/>
      <c r="C3" s="45"/>
      <c r="D3" s="52"/>
      <c r="F3" s="26"/>
      <c r="G3" s="31"/>
      <c r="H3" s="27"/>
      <c r="J3" s="26"/>
      <c r="K3" s="31"/>
      <c r="L3" s="27"/>
      <c r="N3" s="26"/>
      <c r="O3" s="31"/>
      <c r="P3" s="27"/>
      <c r="R3" s="26"/>
      <c r="S3" s="31"/>
      <c r="T3" s="27"/>
      <c r="V3" s="26"/>
      <c r="W3" s="31"/>
      <c r="X3" s="27"/>
      <c r="AM3" s="12" t="str">
        <f t="shared" ref="AM3:AM65" si="0">IFERROR(_xlfn.RANK.EQ(AP3, $AP$3:$AP$150)+ COUNTIFS($AP$3:AP3, AP3) - 1,"")</f>
        <v/>
      </c>
      <c r="AN3" s="12">
        <f t="shared" ref="AN3:AN18" si="1">F23</f>
        <v>0</v>
      </c>
      <c r="AO3" s="12" t="s">
        <v>158</v>
      </c>
      <c r="AP3" s="12" t="str">
        <f>IFERROR(VLOOKUP(AN3,SEPT!$F$23:$H$38,3,FALSE),"")</f>
        <v/>
      </c>
    </row>
    <row r="4" spans="2:42" ht="19.5" customHeight="1">
      <c r="B4" s="35"/>
      <c r="C4" s="36"/>
      <c r="D4" s="37"/>
      <c r="F4" s="32">
        <f>SUM(SEPT!$D$23:$D$38)</f>
        <v>0</v>
      </c>
      <c r="G4" s="30"/>
      <c r="H4" s="25"/>
      <c r="J4" s="32">
        <f>SUM(SEPT!$H$23:$H$38)</f>
        <v>0</v>
      </c>
      <c r="K4" s="30"/>
      <c r="L4" s="25"/>
      <c r="N4" s="32">
        <f>SUM(SEPT!$M$23:$M$38)</f>
        <v>0</v>
      </c>
      <c r="O4" s="30"/>
      <c r="P4" s="25"/>
      <c r="R4" s="32">
        <f>SUM(SEPT!$R$23:$R$38)</f>
        <v>0</v>
      </c>
      <c r="S4" s="30"/>
      <c r="T4" s="25"/>
      <c r="V4" s="32">
        <f>SUM(SEPT!$W$23:$W$38)</f>
        <v>0</v>
      </c>
      <c r="W4" s="30"/>
      <c r="X4" s="25"/>
      <c r="AM4" s="12" t="str">
        <f t="shared" si="0"/>
        <v/>
      </c>
      <c r="AN4" s="12">
        <f t="shared" si="1"/>
        <v>0</v>
      </c>
      <c r="AO4" s="12" t="s">
        <v>158</v>
      </c>
      <c r="AP4" s="12" t="str">
        <f>IFERROR(VLOOKUP(AN4,SEPT!$F$23:$H$38,3,FALSE),"")</f>
        <v/>
      </c>
    </row>
    <row r="5" spans="2:42" ht="21.75" customHeight="1">
      <c r="B5" s="38" t="s">
        <v>166</v>
      </c>
      <c r="C5" s="39"/>
      <c r="D5" s="40"/>
      <c r="F5" s="26"/>
      <c r="G5" s="31"/>
      <c r="H5" s="27"/>
      <c r="J5" s="26"/>
      <c r="K5" s="31"/>
      <c r="L5" s="27"/>
      <c r="N5" s="26"/>
      <c r="O5" s="31"/>
      <c r="P5" s="27"/>
      <c r="R5" s="26"/>
      <c r="S5" s="31"/>
      <c r="T5" s="27"/>
      <c r="V5" s="26"/>
      <c r="W5" s="31"/>
      <c r="X5" s="27"/>
      <c r="AM5" s="12" t="str">
        <f t="shared" si="0"/>
        <v/>
      </c>
      <c r="AN5" s="12">
        <f t="shared" si="1"/>
        <v>0</v>
      </c>
      <c r="AO5" s="12" t="s">
        <v>158</v>
      </c>
      <c r="AP5" s="12" t="str">
        <f>IFERROR(VLOOKUP(AN5,SEPT!$F$23:$H$38,3,FALSE),"")</f>
        <v/>
      </c>
    </row>
    <row r="6" spans="2:42" ht="14.25" customHeight="1">
      <c r="AM6" s="12" t="str">
        <f t="shared" si="0"/>
        <v/>
      </c>
      <c r="AN6" s="12">
        <f t="shared" si="1"/>
        <v>0</v>
      </c>
      <c r="AO6" s="12" t="s">
        <v>158</v>
      </c>
      <c r="AP6" s="12" t="str">
        <f>IFERROR(VLOOKUP(AN6,SEPT!$F$23:$H$38,3,FALSE),"")</f>
        <v/>
      </c>
    </row>
    <row r="7" spans="2:42" ht="13.5" customHeight="1">
      <c r="B7" s="41" t="s">
        <v>167</v>
      </c>
      <c r="C7" s="42"/>
      <c r="D7" s="43"/>
      <c r="V7" s="13" t="s">
        <v>168</v>
      </c>
      <c r="W7" s="13" t="s">
        <v>163</v>
      </c>
      <c r="X7" s="13" t="s">
        <v>169</v>
      </c>
      <c r="AM7" s="12" t="str">
        <f t="shared" si="0"/>
        <v/>
      </c>
      <c r="AN7" s="12">
        <f t="shared" si="1"/>
        <v>0</v>
      </c>
      <c r="AO7" s="12" t="s">
        <v>158</v>
      </c>
      <c r="AP7" s="12" t="str">
        <f>IFERROR(VLOOKUP(AN7,SEPT!$F$23:$H$38,3,FALSE),"")</f>
        <v/>
      </c>
    </row>
    <row r="8" spans="2:42" ht="13.5" customHeight="1">
      <c r="B8" s="44"/>
      <c r="C8" s="45"/>
      <c r="D8" s="46"/>
      <c r="V8" s="12">
        <v>1</v>
      </c>
      <c r="W8" s="12" t="str">
        <f t="shared" ref="W8:W18" si="2">IFERROR(VLOOKUP(V8,$AM$3:$AP$65,2,FALSE),"")</f>
        <v/>
      </c>
      <c r="X8" s="12" t="str">
        <f t="shared" ref="X8:X18" si="3">IFERROR(VLOOKUP(V8,$AM$3:$AP$65,4,FALSE),"")</f>
        <v/>
      </c>
      <c r="AM8" s="12" t="str">
        <f t="shared" si="0"/>
        <v/>
      </c>
      <c r="AN8" s="12">
        <f t="shared" si="1"/>
        <v>0</v>
      </c>
      <c r="AO8" s="12" t="s">
        <v>158</v>
      </c>
      <c r="AP8" s="12" t="str">
        <f>IFERROR(VLOOKUP(AN8,SEPT!$F$23:$H$38,3,FALSE),"")</f>
        <v/>
      </c>
    </row>
    <row r="9" spans="2:42" ht="13.5" customHeight="1">
      <c r="B9" s="47"/>
      <c r="C9" s="31"/>
      <c r="D9" s="48"/>
      <c r="V9" s="12">
        <v>2</v>
      </c>
      <c r="W9" s="12" t="str">
        <f t="shared" si="2"/>
        <v/>
      </c>
      <c r="X9" s="12" t="str">
        <f t="shared" si="3"/>
        <v/>
      </c>
      <c r="AM9" s="12" t="str">
        <f t="shared" si="0"/>
        <v/>
      </c>
      <c r="AN9" s="12">
        <f t="shared" si="1"/>
        <v>0</v>
      </c>
      <c r="AO9" s="12" t="s">
        <v>158</v>
      </c>
      <c r="AP9" s="12" t="str">
        <f>IFERROR(VLOOKUP(AN9,SEPT!$F$23:$H$38,3,FALSE),"")</f>
        <v/>
      </c>
    </row>
    <row r="10" spans="2:42" ht="13.5" customHeight="1">
      <c r="B10" s="14"/>
      <c r="C10" s="14" t="s">
        <v>170</v>
      </c>
      <c r="D10" s="14" t="s">
        <v>171</v>
      </c>
      <c r="V10" s="12">
        <v>3</v>
      </c>
      <c r="W10" s="12" t="str">
        <f t="shared" si="2"/>
        <v/>
      </c>
      <c r="X10" s="12" t="str">
        <f t="shared" si="3"/>
        <v/>
      </c>
      <c r="AM10" s="12" t="str">
        <f t="shared" si="0"/>
        <v/>
      </c>
      <c r="AN10" s="12">
        <f t="shared" si="1"/>
        <v>0</v>
      </c>
      <c r="AO10" s="12" t="s">
        <v>158</v>
      </c>
      <c r="AP10" s="12" t="str">
        <f>IFERROR(VLOOKUP(AN10,SEPT!$F$23:$H$38,3,FALSE),"")</f>
        <v/>
      </c>
    </row>
    <row r="11" spans="2:42" ht="13.5" customHeight="1">
      <c r="B11" s="15" t="s">
        <v>157</v>
      </c>
      <c r="C11" s="16">
        <f>SUM(SEPT!$C$23:$C$38)</f>
        <v>0</v>
      </c>
      <c r="D11" s="17">
        <f>SUM(SEPT!$D$23:$D$38)</f>
        <v>0</v>
      </c>
      <c r="V11" s="12">
        <v>4</v>
      </c>
      <c r="W11" s="12" t="str">
        <f t="shared" si="2"/>
        <v/>
      </c>
      <c r="X11" s="12" t="str">
        <f t="shared" si="3"/>
        <v/>
      </c>
      <c r="AM11" s="12" t="str">
        <f t="shared" si="0"/>
        <v/>
      </c>
      <c r="AN11" s="12">
        <f t="shared" si="1"/>
        <v>0</v>
      </c>
      <c r="AO11" s="12" t="s">
        <v>158</v>
      </c>
      <c r="AP11" s="12" t="str">
        <f>IFERROR(VLOOKUP(AN11,SEPT!$F$23:$H$38,3,FALSE),"")</f>
        <v/>
      </c>
    </row>
    <row r="12" spans="2:42" ht="13.5" customHeight="1">
      <c r="B12" s="15" t="s">
        <v>158</v>
      </c>
      <c r="C12" s="16">
        <f>SUM(SEPT!$G$23:$G$38)</f>
        <v>0</v>
      </c>
      <c r="D12" s="17">
        <f>SUM(SEPT!$H$23:$H$38)</f>
        <v>0</v>
      </c>
      <c r="V12" s="12">
        <v>5</v>
      </c>
      <c r="W12" s="12" t="str">
        <f t="shared" si="2"/>
        <v/>
      </c>
      <c r="X12" s="12" t="str">
        <f t="shared" si="3"/>
        <v/>
      </c>
      <c r="AM12" s="12" t="str">
        <f t="shared" si="0"/>
        <v/>
      </c>
      <c r="AN12" s="12">
        <f t="shared" si="1"/>
        <v>0</v>
      </c>
      <c r="AO12" s="12" t="s">
        <v>158</v>
      </c>
      <c r="AP12" s="12" t="str">
        <f>IFERROR(VLOOKUP(AN12,SEPT!$F$23:$H$38,3,FALSE),"")</f>
        <v/>
      </c>
    </row>
    <row r="13" spans="2:42" ht="13.5" customHeight="1">
      <c r="B13" s="15" t="s">
        <v>159</v>
      </c>
      <c r="C13" s="16">
        <f>SUM(SEPT!$L$23:$L$38)</f>
        <v>0</v>
      </c>
      <c r="D13" s="17">
        <f>SUM(SEPT!$M$23:$M$38)</f>
        <v>0</v>
      </c>
      <c r="V13" s="12">
        <v>6</v>
      </c>
      <c r="W13" s="12" t="str">
        <f t="shared" si="2"/>
        <v/>
      </c>
      <c r="X13" s="12" t="str">
        <f t="shared" si="3"/>
        <v/>
      </c>
      <c r="AM13" s="12" t="str">
        <f t="shared" si="0"/>
        <v/>
      </c>
      <c r="AN13" s="12">
        <f t="shared" si="1"/>
        <v>0</v>
      </c>
      <c r="AO13" s="12" t="s">
        <v>158</v>
      </c>
      <c r="AP13" s="12" t="str">
        <f>IFERROR(VLOOKUP(AN13,SEPT!$F$23:$H$38,3,FALSE),"")</f>
        <v/>
      </c>
    </row>
    <row r="14" spans="2:42" ht="13.5" customHeight="1">
      <c r="B14" s="15" t="s">
        <v>160</v>
      </c>
      <c r="C14" s="16">
        <f>SUM(SEPT!$Q$23:$Q$38)</f>
        <v>0</v>
      </c>
      <c r="D14" s="17">
        <f>SUM(SEPT!$R$23:$R$38)</f>
        <v>0</v>
      </c>
      <c r="V14" s="12">
        <v>7</v>
      </c>
      <c r="W14" s="12" t="str">
        <f t="shared" si="2"/>
        <v/>
      </c>
      <c r="X14" s="12" t="str">
        <f t="shared" si="3"/>
        <v/>
      </c>
      <c r="AM14" s="12" t="str">
        <f t="shared" si="0"/>
        <v/>
      </c>
      <c r="AN14" s="12">
        <f t="shared" si="1"/>
        <v>0</v>
      </c>
      <c r="AO14" s="12" t="s">
        <v>158</v>
      </c>
      <c r="AP14" s="12" t="str">
        <f>IFERROR(VLOOKUP(AN14,SEPT!$F$23:$H$38,3,FALSE),"")</f>
        <v/>
      </c>
    </row>
    <row r="15" spans="2:42" ht="13.5" customHeight="1">
      <c r="B15" s="18" t="s">
        <v>161</v>
      </c>
      <c r="C15" s="19">
        <f>SUM(SEPT!$V$23:$V$38)</f>
        <v>0</v>
      </c>
      <c r="D15" s="20">
        <f>SUM(SEPT!$W$23:$W$38)</f>
        <v>0</v>
      </c>
      <c r="V15" s="12">
        <v>8</v>
      </c>
      <c r="W15" s="12" t="str">
        <f t="shared" si="2"/>
        <v/>
      </c>
      <c r="X15" s="12" t="str">
        <f t="shared" si="3"/>
        <v/>
      </c>
      <c r="AM15" s="12" t="str">
        <f t="shared" si="0"/>
        <v/>
      </c>
      <c r="AN15" s="12">
        <f t="shared" si="1"/>
        <v>0</v>
      </c>
      <c r="AO15" s="12" t="s">
        <v>158</v>
      </c>
      <c r="AP15" s="12" t="str">
        <f>IFERROR(VLOOKUP(AN15,SEPT!$F$23:$H$38,3,FALSE),"")</f>
        <v/>
      </c>
    </row>
    <row r="16" spans="2:42" ht="13.5" customHeight="1">
      <c r="B16" s="21" t="s">
        <v>172</v>
      </c>
      <c r="C16" s="22">
        <f t="shared" ref="C16:D16" si="4">(C11-SUM(C12:C15))</f>
        <v>0</v>
      </c>
      <c r="D16" s="22">
        <f t="shared" si="4"/>
        <v>0</v>
      </c>
      <c r="V16" s="12">
        <v>9</v>
      </c>
      <c r="W16" s="12" t="str">
        <f t="shared" si="2"/>
        <v/>
      </c>
      <c r="X16" s="12" t="str">
        <f t="shared" si="3"/>
        <v/>
      </c>
      <c r="AM16" s="12" t="str">
        <f t="shared" si="0"/>
        <v/>
      </c>
      <c r="AN16" s="12">
        <f t="shared" si="1"/>
        <v>0</v>
      </c>
      <c r="AO16" s="12" t="s">
        <v>158</v>
      </c>
      <c r="AP16" s="12" t="str">
        <f>IFERROR(VLOOKUP(AN16,SEPT!$F$23:$H$38,3,FALSE),"")</f>
        <v/>
      </c>
    </row>
    <row r="17" spans="2:42" ht="13.5" customHeight="1">
      <c r="C17" s="16"/>
      <c r="D17" s="16"/>
      <c r="V17" s="12">
        <v>10</v>
      </c>
      <c r="W17" s="12" t="str">
        <f t="shared" si="2"/>
        <v/>
      </c>
      <c r="X17" s="12" t="str">
        <f t="shared" si="3"/>
        <v/>
      </c>
      <c r="AM17" s="12" t="str">
        <f t="shared" si="0"/>
        <v/>
      </c>
      <c r="AN17" s="12">
        <f t="shared" si="1"/>
        <v>0</v>
      </c>
      <c r="AO17" s="12" t="s">
        <v>158</v>
      </c>
      <c r="AP17" s="12" t="str">
        <f>IFERROR(VLOOKUP(AN17,SEPT!$F$23:$H$38,3,FALSE),"")</f>
        <v/>
      </c>
    </row>
    <row r="18" spans="2:42" ht="13.5" customHeight="1">
      <c r="V18" s="12">
        <v>11</v>
      </c>
      <c r="W18" s="12" t="str">
        <f t="shared" si="2"/>
        <v/>
      </c>
      <c r="X18" s="12" t="str">
        <f t="shared" si="3"/>
        <v/>
      </c>
      <c r="AM18" s="12" t="str">
        <f t="shared" si="0"/>
        <v/>
      </c>
      <c r="AN18" s="12">
        <f t="shared" si="1"/>
        <v>0</v>
      </c>
      <c r="AO18" s="12" t="s">
        <v>158</v>
      </c>
      <c r="AP18" s="12" t="str">
        <f>IFERROR(VLOOKUP(AN18,SEPT!$F$23:$H$38,3,FALSE),"")</f>
        <v/>
      </c>
    </row>
    <row r="19" spans="2:42" ht="14.25" customHeight="1">
      <c r="AM19" s="12" t="str">
        <f t="shared" si="0"/>
        <v/>
      </c>
      <c r="AN19" s="12">
        <f t="shared" ref="AN19:AN34" si="5">K23</f>
        <v>0</v>
      </c>
      <c r="AO19" s="12" t="s">
        <v>159</v>
      </c>
      <c r="AP19" s="12" t="str">
        <f>IFERROR(VLOOKUP(AN19,SEPT!$K$23:$M$38,3,FALSE),"")</f>
        <v/>
      </c>
    </row>
    <row r="20" spans="2:42" ht="14.25" customHeight="1">
      <c r="B20" s="29" t="s">
        <v>157</v>
      </c>
      <c r="C20" s="30"/>
      <c r="D20" s="25"/>
      <c r="F20" s="29" t="s">
        <v>158</v>
      </c>
      <c r="G20" s="30"/>
      <c r="H20" s="30"/>
      <c r="I20" s="25"/>
      <c r="K20" s="29" t="s">
        <v>159</v>
      </c>
      <c r="L20" s="30"/>
      <c r="M20" s="30"/>
      <c r="N20" s="25"/>
      <c r="P20" s="49" t="s">
        <v>160</v>
      </c>
      <c r="Q20" s="30"/>
      <c r="R20" s="30"/>
      <c r="S20" s="25"/>
      <c r="U20" s="34" t="s">
        <v>161</v>
      </c>
      <c r="V20" s="30"/>
      <c r="W20" s="30"/>
      <c r="X20" s="25"/>
      <c r="AM20" s="12" t="str">
        <f t="shared" si="0"/>
        <v/>
      </c>
      <c r="AN20" s="12">
        <f t="shared" si="5"/>
        <v>0</v>
      </c>
      <c r="AO20" s="12" t="s">
        <v>159</v>
      </c>
      <c r="AP20" s="12" t="str">
        <f>IFERROR(VLOOKUP(AN20,SEPT!$K$23:$M$38,3,FALSE),"")</f>
        <v/>
      </c>
    </row>
    <row r="21" spans="2:42" ht="14.25" customHeight="1">
      <c r="B21" s="35"/>
      <c r="C21" s="36"/>
      <c r="D21" s="37"/>
      <c r="F21" s="35"/>
      <c r="G21" s="36"/>
      <c r="H21" s="36"/>
      <c r="I21" s="37"/>
      <c r="K21" s="35"/>
      <c r="L21" s="36"/>
      <c r="M21" s="36"/>
      <c r="N21" s="37"/>
      <c r="P21" s="35"/>
      <c r="Q21" s="36"/>
      <c r="R21" s="36"/>
      <c r="S21" s="37"/>
      <c r="U21" s="35"/>
      <c r="V21" s="36"/>
      <c r="W21" s="36"/>
      <c r="X21" s="37"/>
      <c r="AM21" s="12" t="str">
        <f t="shared" si="0"/>
        <v/>
      </c>
      <c r="AN21" s="12">
        <f t="shared" si="5"/>
        <v>0</v>
      </c>
      <c r="AO21" s="12" t="s">
        <v>159</v>
      </c>
      <c r="AP21" s="12" t="str">
        <f>IFERROR(VLOOKUP(AN21,SEPT!$K$23:$M$38,3,FALSE),"")</f>
        <v/>
      </c>
    </row>
    <row r="22" spans="2:42" ht="14.25" customHeight="1">
      <c r="B22" s="15" t="s">
        <v>173</v>
      </c>
      <c r="C22" s="10" t="s">
        <v>170</v>
      </c>
      <c r="D22" s="23" t="s">
        <v>171</v>
      </c>
      <c r="F22" s="15" t="s">
        <v>173</v>
      </c>
      <c r="G22" s="10" t="s">
        <v>170</v>
      </c>
      <c r="H22" s="10" t="s">
        <v>171</v>
      </c>
      <c r="I22" s="23" t="s">
        <v>174</v>
      </c>
      <c r="K22" s="15" t="s">
        <v>173</v>
      </c>
      <c r="L22" s="10" t="s">
        <v>170</v>
      </c>
      <c r="M22" s="10" t="s">
        <v>171</v>
      </c>
      <c r="N22" s="23" t="s">
        <v>174</v>
      </c>
      <c r="P22" s="15" t="s">
        <v>173</v>
      </c>
      <c r="Q22" s="10" t="s">
        <v>170</v>
      </c>
      <c r="R22" s="10" t="s">
        <v>171</v>
      </c>
      <c r="S22" s="23" t="s">
        <v>174</v>
      </c>
      <c r="U22" s="15" t="s">
        <v>173</v>
      </c>
      <c r="V22" s="10" t="s">
        <v>170</v>
      </c>
      <c r="W22" s="10" t="s">
        <v>171</v>
      </c>
      <c r="X22" s="23" t="s">
        <v>174</v>
      </c>
      <c r="AM22" s="12" t="str">
        <f t="shared" si="0"/>
        <v/>
      </c>
      <c r="AN22" s="12">
        <f t="shared" si="5"/>
        <v>0</v>
      </c>
      <c r="AO22" s="12" t="s">
        <v>159</v>
      </c>
      <c r="AP22" s="12" t="str">
        <f>IFERROR(VLOOKUP(AN22,SEPT!$K$23:$M$38,3,FALSE),"")</f>
        <v/>
      </c>
    </row>
    <row r="23" spans="2:42" ht="14.25" customHeight="1">
      <c r="B23" s="15"/>
      <c r="C23" s="16"/>
      <c r="D23" s="17"/>
      <c r="F23" s="15"/>
      <c r="G23" s="16"/>
      <c r="H23" s="16"/>
      <c r="I23" s="17">
        <f>SEPT!$G23-SEPT!$H23</f>
        <v>0</v>
      </c>
      <c r="K23" s="15"/>
      <c r="L23" s="16"/>
      <c r="M23" s="16"/>
      <c r="N23" s="17">
        <f>SEPT!$L23-SEPT!$M23</f>
        <v>0</v>
      </c>
      <c r="P23" s="15"/>
      <c r="Q23" s="16"/>
      <c r="R23" s="16"/>
      <c r="S23" s="17">
        <f>SEPT!$Q23-SEPT!$R23</f>
        <v>0</v>
      </c>
      <c r="U23" s="15"/>
      <c r="V23" s="16"/>
      <c r="W23" s="16"/>
      <c r="X23" s="17">
        <f>SEPT!$V23-SEPT!$W23</f>
        <v>0</v>
      </c>
      <c r="AM23" s="12" t="str">
        <f t="shared" si="0"/>
        <v/>
      </c>
      <c r="AN23" s="12">
        <f t="shared" si="5"/>
        <v>0</v>
      </c>
      <c r="AO23" s="12" t="s">
        <v>159</v>
      </c>
      <c r="AP23" s="12" t="str">
        <f>IFERROR(VLOOKUP(AN23,SEPT!$K$23:$M$38,3,FALSE),"")</f>
        <v/>
      </c>
    </row>
    <row r="24" spans="2:42" ht="14.25" customHeight="1">
      <c r="B24" s="15"/>
      <c r="C24" s="16"/>
      <c r="D24" s="17"/>
      <c r="F24" s="15"/>
      <c r="G24" s="16"/>
      <c r="H24" s="16"/>
      <c r="I24" s="17">
        <f>SEPT!$G24-SEPT!$H24</f>
        <v>0</v>
      </c>
      <c r="K24" s="15"/>
      <c r="L24" s="16"/>
      <c r="M24" s="16"/>
      <c r="N24" s="17">
        <f>SEPT!$L24-SEPT!$M24</f>
        <v>0</v>
      </c>
      <c r="P24" s="15"/>
      <c r="Q24" s="16"/>
      <c r="R24" s="16"/>
      <c r="S24" s="17">
        <f>SEPT!$Q24-SEPT!$R24</f>
        <v>0</v>
      </c>
      <c r="U24" s="15"/>
      <c r="V24" s="16"/>
      <c r="W24" s="16"/>
      <c r="X24" s="17">
        <f>SEPT!$V24-SEPT!$W24</f>
        <v>0</v>
      </c>
      <c r="AM24" s="12" t="str">
        <f t="shared" si="0"/>
        <v/>
      </c>
      <c r="AN24" s="12">
        <f t="shared" si="5"/>
        <v>0</v>
      </c>
      <c r="AO24" s="12" t="s">
        <v>159</v>
      </c>
      <c r="AP24" s="12" t="str">
        <f>IFERROR(VLOOKUP(AN24,SEPT!$K$23:$M$38,3,FALSE),"")</f>
        <v/>
      </c>
    </row>
    <row r="25" spans="2:42" ht="14.25" customHeight="1">
      <c r="B25" s="15"/>
      <c r="C25" s="16"/>
      <c r="D25" s="17"/>
      <c r="F25" s="15"/>
      <c r="G25" s="16"/>
      <c r="H25" s="16"/>
      <c r="I25" s="17">
        <f>SEPT!$G25-SEPT!$H25</f>
        <v>0</v>
      </c>
      <c r="K25" s="15"/>
      <c r="L25" s="16"/>
      <c r="M25" s="16"/>
      <c r="N25" s="17">
        <f>SEPT!$L25-SEPT!$M25</f>
        <v>0</v>
      </c>
      <c r="P25" s="15"/>
      <c r="Q25" s="16"/>
      <c r="R25" s="16"/>
      <c r="S25" s="17">
        <f>SEPT!$Q25-SEPT!$R25</f>
        <v>0</v>
      </c>
      <c r="U25" s="15"/>
      <c r="V25" s="16"/>
      <c r="W25" s="16"/>
      <c r="X25" s="17">
        <f>SEPT!$V25-SEPT!$W25</f>
        <v>0</v>
      </c>
      <c r="AM25" s="12" t="str">
        <f t="shared" si="0"/>
        <v/>
      </c>
      <c r="AN25" s="12">
        <f t="shared" si="5"/>
        <v>0</v>
      </c>
      <c r="AO25" s="12" t="s">
        <v>159</v>
      </c>
      <c r="AP25" s="12" t="str">
        <f>IFERROR(VLOOKUP(AN25,SEPT!$K$23:$M$38,3,FALSE),"")</f>
        <v/>
      </c>
    </row>
    <row r="26" spans="2:42" ht="14.25" customHeight="1">
      <c r="B26" s="15"/>
      <c r="C26" s="16"/>
      <c r="D26" s="17"/>
      <c r="F26" s="15"/>
      <c r="G26" s="16"/>
      <c r="H26" s="16"/>
      <c r="I26" s="17">
        <f>SEPT!$G26-SEPT!$H26</f>
        <v>0</v>
      </c>
      <c r="K26" s="15"/>
      <c r="L26" s="16"/>
      <c r="M26" s="16"/>
      <c r="N26" s="17">
        <f>SEPT!$L26-SEPT!$M26</f>
        <v>0</v>
      </c>
      <c r="P26" s="15"/>
      <c r="Q26" s="16"/>
      <c r="R26" s="16"/>
      <c r="S26" s="17">
        <f>SEPT!$Q26-SEPT!$R26</f>
        <v>0</v>
      </c>
      <c r="U26" s="15"/>
      <c r="V26" s="16"/>
      <c r="W26" s="16"/>
      <c r="X26" s="17">
        <f>SEPT!$V26-SEPT!$W26</f>
        <v>0</v>
      </c>
      <c r="AM26" s="12" t="str">
        <f t="shared" si="0"/>
        <v/>
      </c>
      <c r="AN26" s="12">
        <f t="shared" si="5"/>
        <v>0</v>
      </c>
      <c r="AO26" s="12" t="s">
        <v>159</v>
      </c>
      <c r="AP26" s="12" t="str">
        <f>IFERROR(VLOOKUP(AN26,SEPT!$K$23:$M$38,3,FALSE),"")</f>
        <v/>
      </c>
    </row>
    <row r="27" spans="2:42" ht="14.25" customHeight="1">
      <c r="B27" s="15"/>
      <c r="C27" s="16"/>
      <c r="D27" s="17"/>
      <c r="F27" s="15"/>
      <c r="G27" s="16"/>
      <c r="H27" s="16"/>
      <c r="I27" s="17">
        <f>SEPT!$G27-SEPT!$H27</f>
        <v>0</v>
      </c>
      <c r="K27" s="15"/>
      <c r="L27" s="16"/>
      <c r="M27" s="16"/>
      <c r="N27" s="17">
        <f>SEPT!$L27-SEPT!$M27</f>
        <v>0</v>
      </c>
      <c r="P27" s="15"/>
      <c r="Q27" s="16"/>
      <c r="R27" s="16"/>
      <c r="S27" s="17">
        <f>SEPT!$Q27-SEPT!$R27</f>
        <v>0</v>
      </c>
      <c r="U27" s="15"/>
      <c r="V27" s="16"/>
      <c r="W27" s="16"/>
      <c r="X27" s="17">
        <f>SEPT!$V27-SEPT!$W27</f>
        <v>0</v>
      </c>
      <c r="AM27" s="12" t="str">
        <f t="shared" si="0"/>
        <v/>
      </c>
      <c r="AN27" s="12">
        <f t="shared" si="5"/>
        <v>0</v>
      </c>
      <c r="AO27" s="12" t="s">
        <v>159</v>
      </c>
      <c r="AP27" s="12" t="str">
        <f>IFERROR(VLOOKUP(AN27,SEPT!$K$23:$M$38,3,FALSE),"")</f>
        <v/>
      </c>
    </row>
    <row r="28" spans="2:42" ht="14.25" customHeight="1">
      <c r="B28" s="15"/>
      <c r="C28" s="16"/>
      <c r="D28" s="17"/>
      <c r="F28" s="15"/>
      <c r="G28" s="16"/>
      <c r="H28" s="16"/>
      <c r="I28" s="17">
        <f>SEPT!$G28-SEPT!$H28</f>
        <v>0</v>
      </c>
      <c r="K28" s="15"/>
      <c r="L28" s="16"/>
      <c r="M28" s="16"/>
      <c r="N28" s="17">
        <f>SEPT!$L28-SEPT!$M28</f>
        <v>0</v>
      </c>
      <c r="P28" s="15"/>
      <c r="Q28" s="16"/>
      <c r="R28" s="16"/>
      <c r="S28" s="17">
        <f>SEPT!$Q28-SEPT!$R28</f>
        <v>0</v>
      </c>
      <c r="U28" s="15"/>
      <c r="V28" s="16"/>
      <c r="W28" s="16"/>
      <c r="X28" s="17">
        <f>SEPT!$V28-SEPT!$W28</f>
        <v>0</v>
      </c>
      <c r="AM28" s="12" t="str">
        <f t="shared" si="0"/>
        <v/>
      </c>
      <c r="AN28" s="12">
        <f t="shared" si="5"/>
        <v>0</v>
      </c>
      <c r="AO28" s="12" t="s">
        <v>159</v>
      </c>
      <c r="AP28" s="12" t="str">
        <f>IFERROR(VLOOKUP(AN28,SEPT!$K$23:$M$38,3,FALSE),"")</f>
        <v/>
      </c>
    </row>
    <row r="29" spans="2:42" ht="14.25" customHeight="1">
      <c r="B29" s="15"/>
      <c r="C29" s="16"/>
      <c r="D29" s="17"/>
      <c r="F29" s="15"/>
      <c r="G29" s="16"/>
      <c r="H29" s="16"/>
      <c r="I29" s="17">
        <f>SEPT!$G29-SEPT!$H29</f>
        <v>0</v>
      </c>
      <c r="K29" s="15"/>
      <c r="L29" s="16"/>
      <c r="M29" s="16"/>
      <c r="N29" s="17">
        <f>SEPT!$L29-SEPT!$M29</f>
        <v>0</v>
      </c>
      <c r="P29" s="15"/>
      <c r="Q29" s="16"/>
      <c r="R29" s="16"/>
      <c r="S29" s="17">
        <f>SEPT!$Q29-SEPT!$R29</f>
        <v>0</v>
      </c>
      <c r="U29" s="15"/>
      <c r="V29" s="16"/>
      <c r="W29" s="16"/>
      <c r="X29" s="17">
        <f>SEPT!$V29-SEPT!$W29</f>
        <v>0</v>
      </c>
      <c r="AM29" s="12" t="str">
        <f t="shared" si="0"/>
        <v/>
      </c>
      <c r="AN29" s="12">
        <f t="shared" si="5"/>
        <v>0</v>
      </c>
      <c r="AO29" s="12" t="s">
        <v>159</v>
      </c>
      <c r="AP29" s="12" t="str">
        <f>IFERROR(VLOOKUP(AN29,SEPT!$K$23:$M$38,3,FALSE),"")</f>
        <v/>
      </c>
    </row>
    <row r="30" spans="2:42" ht="14.25" customHeight="1">
      <c r="B30" s="15"/>
      <c r="C30" s="16"/>
      <c r="D30" s="17"/>
      <c r="F30" s="15"/>
      <c r="G30" s="16"/>
      <c r="H30" s="16"/>
      <c r="I30" s="17">
        <f>SEPT!$G30-SEPT!$H30</f>
        <v>0</v>
      </c>
      <c r="K30" s="15"/>
      <c r="L30" s="16"/>
      <c r="M30" s="16"/>
      <c r="N30" s="17">
        <f>SEPT!$L30-SEPT!$M30</f>
        <v>0</v>
      </c>
      <c r="P30" s="15"/>
      <c r="Q30" s="16"/>
      <c r="R30" s="16"/>
      <c r="S30" s="17">
        <f>SEPT!$Q30-SEPT!$R30</f>
        <v>0</v>
      </c>
      <c r="U30" s="15"/>
      <c r="V30" s="16"/>
      <c r="W30" s="16"/>
      <c r="X30" s="17">
        <f>SEPT!$V30-SEPT!$W30</f>
        <v>0</v>
      </c>
      <c r="AM30" s="12" t="str">
        <f t="shared" si="0"/>
        <v/>
      </c>
      <c r="AN30" s="12">
        <f t="shared" si="5"/>
        <v>0</v>
      </c>
      <c r="AO30" s="12" t="s">
        <v>159</v>
      </c>
      <c r="AP30" s="12" t="str">
        <f>IFERROR(VLOOKUP(AN30,SEPT!$K$23:$M$38,3,FALSE),"")</f>
        <v/>
      </c>
    </row>
    <row r="31" spans="2:42" ht="14.25" customHeight="1">
      <c r="B31" s="15"/>
      <c r="C31" s="16"/>
      <c r="D31" s="17"/>
      <c r="F31" s="15"/>
      <c r="G31" s="16"/>
      <c r="H31" s="16"/>
      <c r="I31" s="17">
        <f>SEPT!$G31-SEPT!$H31</f>
        <v>0</v>
      </c>
      <c r="K31" s="15"/>
      <c r="L31" s="16"/>
      <c r="M31" s="16"/>
      <c r="N31" s="17">
        <f>SEPT!$L31-SEPT!$M31</f>
        <v>0</v>
      </c>
      <c r="P31" s="15"/>
      <c r="Q31" s="16"/>
      <c r="R31" s="16"/>
      <c r="S31" s="17">
        <f>SEPT!$Q31-SEPT!$R31</f>
        <v>0</v>
      </c>
      <c r="U31" s="15"/>
      <c r="V31" s="16"/>
      <c r="W31" s="16"/>
      <c r="X31" s="17">
        <f>SEPT!$V31-SEPT!$W31</f>
        <v>0</v>
      </c>
      <c r="AM31" s="12" t="str">
        <f t="shared" si="0"/>
        <v/>
      </c>
      <c r="AN31" s="12">
        <f t="shared" si="5"/>
        <v>0</v>
      </c>
      <c r="AO31" s="12" t="s">
        <v>159</v>
      </c>
      <c r="AP31" s="12" t="str">
        <f>IFERROR(VLOOKUP(AN31,SEPT!$K$23:$M$38,3,FALSE),"")</f>
        <v/>
      </c>
    </row>
    <row r="32" spans="2:42" ht="14.25" customHeight="1">
      <c r="B32" s="15"/>
      <c r="C32" s="16"/>
      <c r="D32" s="17"/>
      <c r="F32" s="15"/>
      <c r="G32" s="16"/>
      <c r="H32" s="16"/>
      <c r="I32" s="17">
        <f>SEPT!$G32-SEPT!$H32</f>
        <v>0</v>
      </c>
      <c r="K32" s="15"/>
      <c r="L32" s="16"/>
      <c r="M32" s="16"/>
      <c r="N32" s="17">
        <f>SEPT!$L32-SEPT!$M32</f>
        <v>0</v>
      </c>
      <c r="P32" s="15"/>
      <c r="Q32" s="16"/>
      <c r="R32" s="16"/>
      <c r="S32" s="17">
        <f>SEPT!$Q32-SEPT!$R32</f>
        <v>0</v>
      </c>
      <c r="U32" s="15"/>
      <c r="V32" s="16"/>
      <c r="W32" s="16"/>
      <c r="X32" s="17">
        <f>SEPT!$V32-SEPT!$W32</f>
        <v>0</v>
      </c>
      <c r="AM32" s="12" t="str">
        <f t="shared" si="0"/>
        <v/>
      </c>
      <c r="AN32" s="12">
        <f t="shared" si="5"/>
        <v>0</v>
      </c>
      <c r="AO32" s="12" t="s">
        <v>159</v>
      </c>
      <c r="AP32" s="12" t="str">
        <f>IFERROR(VLOOKUP(AN32,SEPT!$K$23:$M$38,3,FALSE),"")</f>
        <v/>
      </c>
    </row>
    <row r="33" spans="2:42" ht="14.25" customHeight="1">
      <c r="B33" s="15"/>
      <c r="C33" s="16"/>
      <c r="D33" s="17"/>
      <c r="F33" s="15"/>
      <c r="G33" s="16"/>
      <c r="H33" s="16"/>
      <c r="I33" s="17">
        <f>SEPT!$G33-SEPT!$H33</f>
        <v>0</v>
      </c>
      <c r="K33" s="15"/>
      <c r="L33" s="16"/>
      <c r="M33" s="16"/>
      <c r="N33" s="17">
        <f>SEPT!$L33-SEPT!$M33</f>
        <v>0</v>
      </c>
      <c r="P33" s="15"/>
      <c r="Q33" s="16"/>
      <c r="R33" s="16"/>
      <c r="S33" s="17">
        <f>SEPT!$Q33-SEPT!$R33</f>
        <v>0</v>
      </c>
      <c r="U33" s="15"/>
      <c r="V33" s="16"/>
      <c r="W33" s="16"/>
      <c r="X33" s="17">
        <f>SEPT!$V33-SEPT!$W33</f>
        <v>0</v>
      </c>
      <c r="AM33" s="12" t="str">
        <f t="shared" si="0"/>
        <v/>
      </c>
      <c r="AN33" s="12">
        <f t="shared" si="5"/>
        <v>0</v>
      </c>
      <c r="AO33" s="12" t="s">
        <v>159</v>
      </c>
      <c r="AP33" s="12" t="str">
        <f>IFERROR(VLOOKUP(AN33,SEPT!$K$23:$M$38,3,FALSE),"")</f>
        <v/>
      </c>
    </row>
    <row r="34" spans="2:42" ht="14.25" customHeight="1">
      <c r="B34" s="15"/>
      <c r="C34" s="16"/>
      <c r="D34" s="17"/>
      <c r="F34" s="15"/>
      <c r="G34" s="16"/>
      <c r="H34" s="16"/>
      <c r="I34" s="17">
        <f>SEPT!$G34-SEPT!$H34</f>
        <v>0</v>
      </c>
      <c r="K34" s="15"/>
      <c r="L34" s="16"/>
      <c r="M34" s="16"/>
      <c r="N34" s="17">
        <f>SEPT!$L34-SEPT!$M34</f>
        <v>0</v>
      </c>
      <c r="P34" s="15"/>
      <c r="Q34" s="16"/>
      <c r="R34" s="16"/>
      <c r="S34" s="17">
        <f>SEPT!$Q34-SEPT!$R34</f>
        <v>0</v>
      </c>
      <c r="U34" s="15"/>
      <c r="V34" s="16"/>
      <c r="W34" s="16"/>
      <c r="X34" s="17">
        <f>SEPT!$V34-SEPT!$W34</f>
        <v>0</v>
      </c>
      <c r="AM34" s="12" t="str">
        <f t="shared" si="0"/>
        <v/>
      </c>
      <c r="AN34" s="12">
        <f t="shared" si="5"/>
        <v>0</v>
      </c>
      <c r="AO34" s="12" t="s">
        <v>175</v>
      </c>
      <c r="AP34" s="12" t="str">
        <f>IFERROR(VLOOKUP(AN34,SEPT!$K$23:$M$38,3,FALSE),"")</f>
        <v/>
      </c>
    </row>
    <row r="35" spans="2:42" ht="14.25" customHeight="1">
      <c r="B35" s="15"/>
      <c r="C35" s="16"/>
      <c r="D35" s="17"/>
      <c r="F35" s="15"/>
      <c r="G35" s="16"/>
      <c r="H35" s="16"/>
      <c r="I35" s="17">
        <f>SEPT!$G35-SEPT!$H35</f>
        <v>0</v>
      </c>
      <c r="K35" s="15"/>
      <c r="L35" s="16"/>
      <c r="M35" s="16"/>
      <c r="N35" s="17">
        <f>SEPT!$L35-SEPT!$M35</f>
        <v>0</v>
      </c>
      <c r="P35" s="15"/>
      <c r="Q35" s="16"/>
      <c r="R35" s="16"/>
      <c r="S35" s="17">
        <f>SEPT!$Q35-SEPT!$R35</f>
        <v>0</v>
      </c>
      <c r="U35" s="15"/>
      <c r="V35" s="16"/>
      <c r="W35" s="16"/>
      <c r="X35" s="17">
        <f>SEPT!$V35-SEPT!$W35</f>
        <v>0</v>
      </c>
      <c r="AM35" s="12" t="str">
        <f t="shared" si="0"/>
        <v/>
      </c>
      <c r="AN35" s="12">
        <f t="shared" ref="AN35:AN49" si="6">P23</f>
        <v>0</v>
      </c>
      <c r="AO35" s="12" t="s">
        <v>175</v>
      </c>
      <c r="AP35" s="12" t="str">
        <f>IFERROR(VLOOKUP(AN35,SEPT!$P$23:$R$38,3,FALSE),"")</f>
        <v/>
      </c>
    </row>
    <row r="36" spans="2:42" ht="14.25" customHeight="1">
      <c r="B36" s="15"/>
      <c r="C36" s="16"/>
      <c r="D36" s="17"/>
      <c r="F36" s="15"/>
      <c r="G36" s="16"/>
      <c r="H36" s="16"/>
      <c r="I36" s="17">
        <f>SEPT!$G36-SEPT!$H36</f>
        <v>0</v>
      </c>
      <c r="K36" s="15"/>
      <c r="L36" s="16"/>
      <c r="M36" s="16"/>
      <c r="N36" s="17">
        <f>SEPT!$L36-SEPT!$M36</f>
        <v>0</v>
      </c>
      <c r="P36" s="15"/>
      <c r="Q36" s="16"/>
      <c r="R36" s="16"/>
      <c r="S36" s="17">
        <f>SEPT!$Q36-SEPT!$R36</f>
        <v>0</v>
      </c>
      <c r="U36" s="15"/>
      <c r="V36" s="16"/>
      <c r="W36" s="16"/>
      <c r="X36" s="17">
        <f>SEPT!$V36-SEPT!$W36</f>
        <v>0</v>
      </c>
      <c r="AM36" s="12" t="str">
        <f t="shared" si="0"/>
        <v/>
      </c>
      <c r="AN36" s="12">
        <f t="shared" si="6"/>
        <v>0</v>
      </c>
      <c r="AO36" s="12" t="s">
        <v>175</v>
      </c>
      <c r="AP36" s="12" t="str">
        <f>IFERROR(VLOOKUP(AN36,SEPT!$P$23:$R$38,3,FALSE),"")</f>
        <v/>
      </c>
    </row>
    <row r="37" spans="2:42" ht="14.25" customHeight="1">
      <c r="B37" s="15"/>
      <c r="C37" s="16"/>
      <c r="D37" s="17"/>
      <c r="F37" s="15"/>
      <c r="G37" s="16"/>
      <c r="H37" s="16"/>
      <c r="I37" s="17">
        <f>SEPT!$G37-SEPT!$H37</f>
        <v>0</v>
      </c>
      <c r="K37" s="15"/>
      <c r="L37" s="16"/>
      <c r="M37" s="16"/>
      <c r="N37" s="17">
        <f>SEPT!$L37-SEPT!$M37</f>
        <v>0</v>
      </c>
      <c r="P37" s="15"/>
      <c r="Q37" s="16"/>
      <c r="R37" s="16"/>
      <c r="S37" s="17">
        <f>SEPT!$Q37-SEPT!$R37</f>
        <v>0</v>
      </c>
      <c r="U37" s="15"/>
      <c r="V37" s="16"/>
      <c r="W37" s="16"/>
      <c r="X37" s="17">
        <f>SEPT!$V37-SEPT!$W37</f>
        <v>0</v>
      </c>
      <c r="AM37" s="12" t="str">
        <f t="shared" si="0"/>
        <v/>
      </c>
      <c r="AN37" s="12">
        <f t="shared" si="6"/>
        <v>0</v>
      </c>
      <c r="AO37" s="12" t="s">
        <v>175</v>
      </c>
      <c r="AP37" s="12" t="str">
        <f>IFERROR(VLOOKUP(AN37,SEPT!$P$23:$R$38,3,FALSE),"")</f>
        <v/>
      </c>
    </row>
    <row r="38" spans="2:42" ht="14.25" customHeight="1">
      <c r="B38" s="18"/>
      <c r="C38" s="19"/>
      <c r="D38" s="20"/>
      <c r="F38" s="18"/>
      <c r="G38" s="19"/>
      <c r="H38" s="19"/>
      <c r="I38" s="20">
        <f>SEPT!$G38-SEPT!$H38</f>
        <v>0</v>
      </c>
      <c r="K38" s="18"/>
      <c r="L38" s="19"/>
      <c r="M38" s="19"/>
      <c r="N38" s="20">
        <f>SEPT!$L38-SEPT!$M38</f>
        <v>0</v>
      </c>
      <c r="P38" s="18"/>
      <c r="Q38" s="19"/>
      <c r="R38" s="19"/>
      <c r="S38" s="20">
        <f>SEPT!$Q38-SEPT!$R38</f>
        <v>0</v>
      </c>
      <c r="U38" s="18"/>
      <c r="V38" s="19"/>
      <c r="W38" s="19"/>
      <c r="X38" s="20">
        <f>SEPT!$V38-SEPT!$W38</f>
        <v>0</v>
      </c>
      <c r="AM38" s="12" t="str">
        <f t="shared" si="0"/>
        <v/>
      </c>
      <c r="AN38" s="12">
        <f t="shared" si="6"/>
        <v>0</v>
      </c>
      <c r="AO38" s="12" t="s">
        <v>175</v>
      </c>
      <c r="AP38" s="12" t="str">
        <f>IFERROR(VLOOKUP(AN38,SEPT!$P$23:$R$38,3,FALSE),"")</f>
        <v/>
      </c>
    </row>
    <row r="39" spans="2:42" ht="14.25" customHeight="1">
      <c r="AM39" s="12" t="str">
        <f t="shared" si="0"/>
        <v/>
      </c>
      <c r="AN39" s="12">
        <f t="shared" si="6"/>
        <v>0</v>
      </c>
      <c r="AO39" s="12" t="s">
        <v>175</v>
      </c>
      <c r="AP39" s="12" t="str">
        <f>IFERROR(VLOOKUP(AN39,SEPT!$P$23:$R$38,3,FALSE),"")</f>
        <v/>
      </c>
    </row>
    <row r="40" spans="2:42" ht="14.25" customHeight="1">
      <c r="AM40" s="12" t="str">
        <f t="shared" si="0"/>
        <v/>
      </c>
      <c r="AN40" s="12">
        <f t="shared" si="6"/>
        <v>0</v>
      </c>
      <c r="AO40" s="12" t="s">
        <v>175</v>
      </c>
      <c r="AP40" s="12" t="str">
        <f>IFERROR(VLOOKUP(AN40,SEPT!$P$23:$R$38,3,FALSE),"")</f>
        <v/>
      </c>
    </row>
    <row r="41" spans="2:42" ht="14.25" customHeight="1">
      <c r="AM41" s="12" t="str">
        <f t="shared" si="0"/>
        <v/>
      </c>
      <c r="AN41" s="12">
        <f t="shared" si="6"/>
        <v>0</v>
      </c>
      <c r="AO41" s="12" t="s">
        <v>175</v>
      </c>
      <c r="AP41" s="12" t="str">
        <f>IFERROR(VLOOKUP(AN41,SEPT!$P$23:$R$38,3,FALSE),"")</f>
        <v/>
      </c>
    </row>
    <row r="42" spans="2:42" ht="14.25" customHeight="1">
      <c r="AM42" s="12" t="str">
        <f t="shared" si="0"/>
        <v/>
      </c>
      <c r="AN42" s="12">
        <f t="shared" si="6"/>
        <v>0</v>
      </c>
      <c r="AO42" s="12" t="s">
        <v>175</v>
      </c>
      <c r="AP42" s="12" t="str">
        <f>IFERROR(VLOOKUP(AN42,SEPT!$P$23:$R$38,3,FALSE),"")</f>
        <v/>
      </c>
    </row>
    <row r="43" spans="2:42" ht="14.25" customHeight="1">
      <c r="AM43" s="12" t="str">
        <f t="shared" si="0"/>
        <v/>
      </c>
      <c r="AN43" s="12">
        <f t="shared" si="6"/>
        <v>0</v>
      </c>
      <c r="AO43" s="12" t="s">
        <v>175</v>
      </c>
      <c r="AP43" s="12" t="str">
        <f>IFERROR(VLOOKUP(AN43,SEPT!$P$23:$R$38,3,FALSE),"")</f>
        <v/>
      </c>
    </row>
    <row r="44" spans="2:42" ht="14.25" customHeight="1">
      <c r="AM44" s="12" t="str">
        <f t="shared" si="0"/>
        <v/>
      </c>
      <c r="AN44" s="12">
        <f t="shared" si="6"/>
        <v>0</v>
      </c>
      <c r="AO44" s="12" t="s">
        <v>175</v>
      </c>
      <c r="AP44" s="12" t="str">
        <f>IFERROR(VLOOKUP(AN44,SEPT!$P$23:$R$38,3,FALSE),"")</f>
        <v/>
      </c>
    </row>
    <row r="45" spans="2:42" ht="14.25" customHeight="1">
      <c r="AM45" s="12" t="str">
        <f t="shared" si="0"/>
        <v/>
      </c>
      <c r="AN45" s="12">
        <f t="shared" si="6"/>
        <v>0</v>
      </c>
      <c r="AO45" s="12" t="s">
        <v>175</v>
      </c>
      <c r="AP45" s="12" t="str">
        <f>IFERROR(VLOOKUP(AN45,SEPT!$P$23:$R$38,3,FALSE),"")</f>
        <v/>
      </c>
    </row>
    <row r="46" spans="2:42" ht="14.25" customHeight="1">
      <c r="AM46" s="12" t="str">
        <f t="shared" si="0"/>
        <v/>
      </c>
      <c r="AN46" s="12">
        <f t="shared" si="6"/>
        <v>0</v>
      </c>
      <c r="AO46" s="12" t="s">
        <v>175</v>
      </c>
      <c r="AP46" s="12" t="str">
        <f>IFERROR(VLOOKUP(AN46,SEPT!$P$23:$R$38,3,FALSE),"")</f>
        <v/>
      </c>
    </row>
    <row r="47" spans="2:42" ht="14.25" customHeight="1">
      <c r="AM47" s="12" t="str">
        <f t="shared" si="0"/>
        <v/>
      </c>
      <c r="AN47" s="12">
        <f t="shared" si="6"/>
        <v>0</v>
      </c>
      <c r="AO47" s="12" t="s">
        <v>175</v>
      </c>
      <c r="AP47" s="12" t="str">
        <f>IFERROR(VLOOKUP(AN47,SEPT!$P$23:$R$38,3,FALSE),"")</f>
        <v/>
      </c>
    </row>
    <row r="48" spans="2:42" ht="14.25" customHeight="1">
      <c r="AM48" s="12" t="str">
        <f t="shared" si="0"/>
        <v/>
      </c>
      <c r="AN48" s="12">
        <f t="shared" si="6"/>
        <v>0</v>
      </c>
      <c r="AO48" s="12" t="s">
        <v>175</v>
      </c>
      <c r="AP48" s="12" t="str">
        <f>IFERROR(VLOOKUP(AN48,SEPT!$P$23:$R$38,3,FALSE),"")</f>
        <v/>
      </c>
    </row>
    <row r="49" spans="39:42" ht="14.25" customHeight="1">
      <c r="AM49" s="12" t="str">
        <f t="shared" si="0"/>
        <v/>
      </c>
      <c r="AN49" s="12">
        <f t="shared" si="6"/>
        <v>0</v>
      </c>
      <c r="AO49" s="12" t="s">
        <v>161</v>
      </c>
      <c r="AP49" s="12" t="str">
        <f>IFERROR(VLOOKUP(AN49,SEPT!$P$23:$R$38,3,FALSE),"")</f>
        <v/>
      </c>
    </row>
    <row r="50" spans="39:42" ht="14.25" customHeight="1">
      <c r="AM50" s="12" t="str">
        <f t="shared" si="0"/>
        <v/>
      </c>
      <c r="AN50" s="12">
        <f t="shared" ref="AN50:AN65" si="7">U23</f>
        <v>0</v>
      </c>
      <c r="AO50" s="12" t="s">
        <v>161</v>
      </c>
      <c r="AP50" s="12" t="str">
        <f>IFERROR(VLOOKUP(AN50,SEPT!$U$23:$W$38,3,FALSE),"")</f>
        <v/>
      </c>
    </row>
    <row r="51" spans="39:42" ht="14.25" customHeight="1">
      <c r="AM51" s="12" t="str">
        <f t="shared" si="0"/>
        <v/>
      </c>
      <c r="AN51" s="12">
        <f t="shared" si="7"/>
        <v>0</v>
      </c>
      <c r="AO51" s="12" t="s">
        <v>161</v>
      </c>
      <c r="AP51" s="12" t="str">
        <f>IFERROR(VLOOKUP(AN51,SEPT!$U$23:$W$38,3,FALSE),"")</f>
        <v/>
      </c>
    </row>
    <row r="52" spans="39:42" ht="14.25" customHeight="1">
      <c r="AM52" s="12" t="str">
        <f t="shared" si="0"/>
        <v/>
      </c>
      <c r="AN52" s="12">
        <f t="shared" si="7"/>
        <v>0</v>
      </c>
      <c r="AO52" s="12" t="s">
        <v>161</v>
      </c>
      <c r="AP52" s="12" t="str">
        <f>IFERROR(VLOOKUP(AN52,SEPT!$U$23:$W$38,3,FALSE),"")</f>
        <v/>
      </c>
    </row>
    <row r="53" spans="39:42" ht="14.25" customHeight="1">
      <c r="AM53" s="12" t="str">
        <f t="shared" si="0"/>
        <v/>
      </c>
      <c r="AN53" s="12">
        <f t="shared" si="7"/>
        <v>0</v>
      </c>
      <c r="AO53" s="12" t="s">
        <v>161</v>
      </c>
      <c r="AP53" s="12" t="str">
        <f>IFERROR(VLOOKUP(AN53,SEPT!$U$23:$W$38,3,FALSE),"")</f>
        <v/>
      </c>
    </row>
    <row r="54" spans="39:42" ht="14.25" customHeight="1">
      <c r="AM54" s="12" t="str">
        <f t="shared" si="0"/>
        <v/>
      </c>
      <c r="AN54" s="12">
        <f t="shared" si="7"/>
        <v>0</v>
      </c>
      <c r="AO54" s="12" t="s">
        <v>161</v>
      </c>
      <c r="AP54" s="12" t="str">
        <f>IFERROR(VLOOKUP(AN54,SEPT!$U$23:$W$38,3,FALSE),"")</f>
        <v/>
      </c>
    </row>
    <row r="55" spans="39:42" ht="14.25" customHeight="1">
      <c r="AM55" s="12" t="str">
        <f t="shared" si="0"/>
        <v/>
      </c>
      <c r="AN55" s="12">
        <f t="shared" si="7"/>
        <v>0</v>
      </c>
      <c r="AO55" s="12" t="s">
        <v>161</v>
      </c>
      <c r="AP55" s="12" t="str">
        <f>IFERROR(VLOOKUP(AN55,SEPT!$U$23:$W$38,3,FALSE),"")</f>
        <v/>
      </c>
    </row>
    <row r="56" spans="39:42" ht="14.25" customHeight="1">
      <c r="AM56" s="12" t="str">
        <f t="shared" si="0"/>
        <v/>
      </c>
      <c r="AN56" s="12">
        <f t="shared" si="7"/>
        <v>0</v>
      </c>
      <c r="AO56" s="12" t="s">
        <v>161</v>
      </c>
      <c r="AP56" s="12" t="str">
        <f>IFERROR(VLOOKUP(AN56,SEPT!$U$23:$W$38,3,FALSE),"")</f>
        <v/>
      </c>
    </row>
    <row r="57" spans="39:42" ht="14.25" customHeight="1">
      <c r="AM57" s="12" t="str">
        <f t="shared" si="0"/>
        <v/>
      </c>
      <c r="AN57" s="12">
        <f t="shared" si="7"/>
        <v>0</v>
      </c>
      <c r="AO57" s="12" t="s">
        <v>161</v>
      </c>
      <c r="AP57" s="12" t="str">
        <f>IFERROR(VLOOKUP(AN57,SEPT!$U$23:$W$38,3,FALSE),"")</f>
        <v/>
      </c>
    </row>
    <row r="58" spans="39:42" ht="14.25" customHeight="1">
      <c r="AM58" s="12" t="str">
        <f t="shared" si="0"/>
        <v/>
      </c>
      <c r="AN58" s="12">
        <f t="shared" si="7"/>
        <v>0</v>
      </c>
      <c r="AO58" s="12" t="s">
        <v>161</v>
      </c>
      <c r="AP58" s="12" t="str">
        <f>IFERROR(VLOOKUP(AN58,SEPT!$U$23:$W$38,3,FALSE),"")</f>
        <v/>
      </c>
    </row>
    <row r="59" spans="39:42" ht="14.25" customHeight="1">
      <c r="AM59" s="12" t="str">
        <f t="shared" si="0"/>
        <v/>
      </c>
      <c r="AN59" s="12">
        <f t="shared" si="7"/>
        <v>0</v>
      </c>
      <c r="AO59" s="12" t="s">
        <v>161</v>
      </c>
      <c r="AP59" s="12" t="str">
        <f>IFERROR(VLOOKUP(AN59,SEPT!$U$23:$W$38,3,FALSE),"")</f>
        <v/>
      </c>
    </row>
    <row r="60" spans="39:42" ht="14.25" customHeight="1">
      <c r="AM60" s="12" t="str">
        <f t="shared" si="0"/>
        <v/>
      </c>
      <c r="AN60" s="12">
        <f t="shared" si="7"/>
        <v>0</v>
      </c>
      <c r="AO60" s="12" t="s">
        <v>161</v>
      </c>
      <c r="AP60" s="12" t="str">
        <f>IFERROR(VLOOKUP(AN60,SEPT!$U$23:$W$38,3,FALSE),"")</f>
        <v/>
      </c>
    </row>
    <row r="61" spans="39:42" ht="14.25" customHeight="1">
      <c r="AM61" s="12" t="str">
        <f t="shared" si="0"/>
        <v/>
      </c>
      <c r="AN61" s="12">
        <f t="shared" si="7"/>
        <v>0</v>
      </c>
      <c r="AO61" s="12" t="s">
        <v>161</v>
      </c>
      <c r="AP61" s="12" t="str">
        <f>IFERROR(VLOOKUP(AN61,SEPT!$U$23:$W$38,3,FALSE),"")</f>
        <v/>
      </c>
    </row>
    <row r="62" spans="39:42" ht="14.25" customHeight="1">
      <c r="AM62" s="12" t="str">
        <f t="shared" si="0"/>
        <v/>
      </c>
      <c r="AN62" s="12">
        <f t="shared" si="7"/>
        <v>0</v>
      </c>
      <c r="AO62" s="12" t="s">
        <v>161</v>
      </c>
      <c r="AP62" s="12" t="str">
        <f>IFERROR(VLOOKUP(AN62,SEPT!$U$23:$W$38,3,FALSE),"")</f>
        <v/>
      </c>
    </row>
    <row r="63" spans="39:42" ht="14.25" customHeight="1">
      <c r="AM63" s="12" t="str">
        <f t="shared" si="0"/>
        <v/>
      </c>
      <c r="AN63" s="12">
        <f t="shared" si="7"/>
        <v>0</v>
      </c>
      <c r="AO63" s="12" t="s">
        <v>161</v>
      </c>
      <c r="AP63" s="12" t="str">
        <f>IFERROR(VLOOKUP(AN63,SEPT!$U$23:$W$38,3,FALSE),"")</f>
        <v/>
      </c>
    </row>
    <row r="64" spans="39:42" ht="14.25" customHeight="1">
      <c r="AM64" s="12" t="str">
        <f t="shared" si="0"/>
        <v/>
      </c>
      <c r="AN64" s="12">
        <f t="shared" si="7"/>
        <v>0</v>
      </c>
      <c r="AO64" s="12" t="s">
        <v>161</v>
      </c>
      <c r="AP64" s="12" t="str">
        <f>IFERROR(VLOOKUP(AN64,SEPT!$U$23:$W$38,3,FALSE),"")</f>
        <v/>
      </c>
    </row>
    <row r="65" spans="39:42" ht="14.25" customHeight="1">
      <c r="AM65" s="12" t="str">
        <f t="shared" si="0"/>
        <v/>
      </c>
      <c r="AN65" s="12">
        <f t="shared" si="7"/>
        <v>0</v>
      </c>
      <c r="AO65" s="12" t="s">
        <v>161</v>
      </c>
      <c r="AP65" s="12" t="str">
        <f>IFERROR(VLOOKUP(AN65,SEPT!$U$23:$W$38,3,FALSE),"")</f>
        <v/>
      </c>
    </row>
    <row r="66" spans="39:42" ht="14.25" customHeight="1"/>
    <row r="67" spans="39:42" ht="14.25" customHeight="1"/>
    <row r="68" spans="39:42" ht="14.25" customHeight="1"/>
    <row r="69" spans="39:42" ht="14.25" customHeight="1"/>
    <row r="70" spans="39:42" ht="14.25" customHeight="1"/>
    <row r="71" spans="39:42" ht="14.25" customHeight="1"/>
    <row r="72" spans="39:42" ht="14.25" customHeight="1"/>
    <row r="73" spans="39:42" ht="14.25" customHeight="1"/>
    <row r="74" spans="39:42" ht="14.25" customHeight="1"/>
    <row r="75" spans="39:42" ht="14.25" customHeight="1"/>
    <row r="76" spans="39:42" ht="14.25" customHeight="1"/>
    <row r="77" spans="39:42" ht="14.25" customHeight="1"/>
    <row r="78" spans="39:42" ht="14.25" customHeight="1"/>
    <row r="79" spans="39:42" ht="14.25" customHeight="1"/>
    <row r="80" spans="39:4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N2:AP65" xr:uid="{00000000-0009-0000-0000-00000A000000}"/>
  <mergeCells count="18">
    <mergeCell ref="B2:D4"/>
    <mergeCell ref="F2:H3"/>
    <mergeCell ref="J2:L3"/>
    <mergeCell ref="R2:T3"/>
    <mergeCell ref="F4:H5"/>
    <mergeCell ref="J4:L5"/>
    <mergeCell ref="R4:T5"/>
    <mergeCell ref="B5:D5"/>
    <mergeCell ref="B7:D9"/>
    <mergeCell ref="B20:D21"/>
    <mergeCell ref="F20:I21"/>
    <mergeCell ref="K20:N21"/>
    <mergeCell ref="N2:P3"/>
    <mergeCell ref="N4:P5"/>
    <mergeCell ref="V2:X3"/>
    <mergeCell ref="V4:X5"/>
    <mergeCell ref="U20:X21"/>
    <mergeCell ref="P20:S21"/>
  </mergeCells>
  <pageMargins left="0.7" right="0.7" top="0.75" bottom="0.75" header="0" footer="0"/>
  <pageSetup orientation="landscape"/>
  <drawing r:id="rId1"/>
  <tableParts count="5">
    <tablePart r:id="rId2"/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A00-000000000000}">
          <x14:formula1>
            <xm:f>lists!$D$2:$D$21</xm:f>
          </x14:formula1>
          <xm:sqref>P23:P38</xm:sqref>
        </x14:dataValidation>
        <x14:dataValidation type="list" allowBlank="1" showErrorMessage="1" xr:uid="{00000000-0002-0000-0A00-000001000000}">
          <x14:formula1>
            <xm:f>lists!$A$2:$A$35</xm:f>
          </x14:formula1>
          <xm:sqref>B23:B38</xm:sqref>
        </x14:dataValidation>
        <x14:dataValidation type="list" allowBlank="1" showErrorMessage="1" xr:uid="{00000000-0002-0000-0A00-000002000000}">
          <x14:formula1>
            <xm:f>lists!$B$2:$B$24</xm:f>
          </x14:formula1>
          <xm:sqref>F23:F38</xm:sqref>
        </x14:dataValidation>
        <x14:dataValidation type="list" allowBlank="1" showErrorMessage="1" xr:uid="{00000000-0002-0000-0A00-000003000000}">
          <x14:formula1>
            <xm:f>lists!$E$2:$E$25</xm:f>
          </x14:formula1>
          <xm:sqref>U23:U38</xm:sqref>
        </x14:dataValidation>
        <x14:dataValidation type="list" allowBlank="1" showErrorMessage="1" xr:uid="{00000000-0002-0000-0A00-000004000000}">
          <x14:formula1>
            <xm:f>lists!$C$2:$C$32</xm:f>
          </x14:formula1>
          <xm:sqref>K23:K38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D965"/>
  </sheetPr>
  <dimension ref="B1:AP1000"/>
  <sheetViews>
    <sheetView workbookViewId="0"/>
  </sheetViews>
  <sheetFormatPr defaultColWidth="14.3984375" defaultRowHeight="15" customHeight="1"/>
  <cols>
    <col min="1" max="1" width="3.3984375" customWidth="1"/>
    <col min="2" max="2" width="14.265625" customWidth="1"/>
    <col min="3" max="3" width="14.3984375" customWidth="1"/>
    <col min="4" max="4" width="15.3984375" customWidth="1"/>
    <col min="5" max="5" width="4.3984375" customWidth="1"/>
    <col min="6" max="6" width="12.1328125" customWidth="1"/>
    <col min="7" max="8" width="12.73046875" customWidth="1"/>
    <col min="9" max="9" width="11.73046875" customWidth="1"/>
    <col min="10" max="10" width="8.73046875" customWidth="1"/>
    <col min="11" max="11" width="10.1328125" customWidth="1"/>
    <col min="12" max="13" width="11.86328125" customWidth="1"/>
    <col min="14" max="14" width="11.73046875" customWidth="1"/>
    <col min="15" max="15" width="8.73046875" customWidth="1"/>
    <col min="16" max="16" width="13.86328125" customWidth="1"/>
    <col min="17" max="18" width="11.86328125" customWidth="1"/>
    <col min="19" max="19" width="11.73046875" customWidth="1"/>
    <col min="20" max="20" width="8.73046875" customWidth="1"/>
    <col min="21" max="21" width="16.265625" customWidth="1"/>
    <col min="22" max="22" width="13" customWidth="1"/>
    <col min="23" max="23" width="17.1328125" customWidth="1"/>
    <col min="24" max="24" width="13.86328125" customWidth="1"/>
    <col min="25" max="37" width="8.73046875" customWidth="1"/>
    <col min="38" max="39" width="8.73046875" hidden="1" customWidth="1"/>
    <col min="40" max="40" width="17.53125" hidden="1" customWidth="1"/>
    <col min="41" max="41" width="12.3984375" hidden="1" customWidth="1"/>
    <col min="42" max="42" width="14.86328125" hidden="1" customWidth="1"/>
  </cols>
  <sheetData>
    <row r="1" spans="2:42" ht="14.25" customHeight="1"/>
    <row r="2" spans="2:42" ht="19.5" customHeight="1">
      <c r="B2" s="50" t="s">
        <v>184</v>
      </c>
      <c r="C2" s="30"/>
      <c r="D2" s="25"/>
      <c r="F2" s="29" t="s">
        <v>157</v>
      </c>
      <c r="G2" s="30"/>
      <c r="H2" s="25"/>
      <c r="J2" s="29" t="s">
        <v>158</v>
      </c>
      <c r="K2" s="30"/>
      <c r="L2" s="25"/>
      <c r="N2" s="29" t="s">
        <v>159</v>
      </c>
      <c r="O2" s="30"/>
      <c r="P2" s="25"/>
      <c r="R2" s="49" t="s">
        <v>160</v>
      </c>
      <c r="S2" s="30"/>
      <c r="T2" s="25"/>
      <c r="V2" s="33" t="s">
        <v>161</v>
      </c>
      <c r="W2" s="30"/>
      <c r="X2" s="25"/>
      <c r="AM2" s="11" t="s">
        <v>162</v>
      </c>
      <c r="AN2" s="11" t="s">
        <v>163</v>
      </c>
      <c r="AO2" s="11" t="s">
        <v>164</v>
      </c>
      <c r="AP2" s="11" t="s">
        <v>165</v>
      </c>
    </row>
    <row r="3" spans="2:42" ht="19.5" customHeight="1">
      <c r="B3" s="51"/>
      <c r="C3" s="45"/>
      <c r="D3" s="52"/>
      <c r="F3" s="26"/>
      <c r="G3" s="31"/>
      <c r="H3" s="27"/>
      <c r="J3" s="26"/>
      <c r="K3" s="31"/>
      <c r="L3" s="27"/>
      <c r="N3" s="26"/>
      <c r="O3" s="31"/>
      <c r="P3" s="27"/>
      <c r="R3" s="26"/>
      <c r="S3" s="31"/>
      <c r="T3" s="27"/>
      <c r="V3" s="26"/>
      <c r="W3" s="31"/>
      <c r="X3" s="27"/>
      <c r="AM3" s="12" t="str">
        <f t="shared" ref="AM3:AM65" si="0">IFERROR(_xlfn.RANK.EQ(AP3, $AP$3:$AP$150)+ COUNTIFS($AP$3:AP3, AP3) - 1,"")</f>
        <v/>
      </c>
      <c r="AN3" s="12">
        <f t="shared" ref="AN3:AN18" si="1">F23</f>
        <v>0</v>
      </c>
      <c r="AO3" s="12" t="s">
        <v>158</v>
      </c>
      <c r="AP3" s="12" t="str">
        <f>IFERROR(VLOOKUP(AN3,OCT!$F$23:$H$38,3,FALSE),"")</f>
        <v/>
      </c>
    </row>
    <row r="4" spans="2:42" ht="19.5" customHeight="1">
      <c r="B4" s="35"/>
      <c r="C4" s="36"/>
      <c r="D4" s="37"/>
      <c r="F4" s="32">
        <f>SUM(OCT!$D$23:$D$38)</f>
        <v>0</v>
      </c>
      <c r="G4" s="30"/>
      <c r="H4" s="25"/>
      <c r="J4" s="32">
        <f>SUM(OCT!$H$23:$H$38)</f>
        <v>0</v>
      </c>
      <c r="K4" s="30"/>
      <c r="L4" s="25"/>
      <c r="N4" s="32">
        <f>SUM(OCT!$M$23:$M$38)</f>
        <v>0</v>
      </c>
      <c r="O4" s="30"/>
      <c r="P4" s="25"/>
      <c r="R4" s="32">
        <f>SUM(OCT!$R$23:$R$38)</f>
        <v>0</v>
      </c>
      <c r="S4" s="30"/>
      <c r="T4" s="25"/>
      <c r="V4" s="32">
        <f>SUM(OCT!$W$23:$W$38)</f>
        <v>0</v>
      </c>
      <c r="W4" s="30"/>
      <c r="X4" s="25"/>
      <c r="AM4" s="12" t="str">
        <f t="shared" si="0"/>
        <v/>
      </c>
      <c r="AN4" s="12">
        <f t="shared" si="1"/>
        <v>0</v>
      </c>
      <c r="AO4" s="12" t="s">
        <v>158</v>
      </c>
      <c r="AP4" s="12" t="str">
        <f>IFERROR(VLOOKUP(AN4,OCT!$F$23:$H$38,3,FALSE),"")</f>
        <v/>
      </c>
    </row>
    <row r="5" spans="2:42" ht="21.75" customHeight="1">
      <c r="B5" s="38" t="s">
        <v>166</v>
      </c>
      <c r="C5" s="39"/>
      <c r="D5" s="40"/>
      <c r="F5" s="26"/>
      <c r="G5" s="31"/>
      <c r="H5" s="27"/>
      <c r="J5" s="26"/>
      <c r="K5" s="31"/>
      <c r="L5" s="27"/>
      <c r="N5" s="26"/>
      <c r="O5" s="31"/>
      <c r="P5" s="27"/>
      <c r="R5" s="26"/>
      <c r="S5" s="31"/>
      <c r="T5" s="27"/>
      <c r="V5" s="26"/>
      <c r="W5" s="31"/>
      <c r="X5" s="27"/>
      <c r="AM5" s="12" t="str">
        <f t="shared" si="0"/>
        <v/>
      </c>
      <c r="AN5" s="12">
        <f t="shared" si="1"/>
        <v>0</v>
      </c>
      <c r="AO5" s="12" t="s">
        <v>158</v>
      </c>
      <c r="AP5" s="12" t="str">
        <f>IFERROR(VLOOKUP(AN5,OCT!$F$23:$H$38,3,FALSE),"")</f>
        <v/>
      </c>
    </row>
    <row r="6" spans="2:42" ht="14.25" customHeight="1">
      <c r="AM6" s="12" t="str">
        <f t="shared" si="0"/>
        <v/>
      </c>
      <c r="AN6" s="12">
        <f t="shared" si="1"/>
        <v>0</v>
      </c>
      <c r="AO6" s="12" t="s">
        <v>158</v>
      </c>
      <c r="AP6" s="12" t="str">
        <f>IFERROR(VLOOKUP(AN6,OCT!$F$23:$H$38,3,FALSE),"")</f>
        <v/>
      </c>
    </row>
    <row r="7" spans="2:42" ht="13.5" customHeight="1">
      <c r="B7" s="41" t="s">
        <v>167</v>
      </c>
      <c r="C7" s="42"/>
      <c r="D7" s="43"/>
      <c r="V7" s="13" t="s">
        <v>168</v>
      </c>
      <c r="W7" s="13" t="s">
        <v>163</v>
      </c>
      <c r="X7" s="13" t="s">
        <v>169</v>
      </c>
      <c r="AM7" s="12" t="str">
        <f t="shared" si="0"/>
        <v/>
      </c>
      <c r="AN7" s="12">
        <f t="shared" si="1"/>
        <v>0</v>
      </c>
      <c r="AO7" s="12" t="s">
        <v>158</v>
      </c>
      <c r="AP7" s="12" t="str">
        <f>IFERROR(VLOOKUP(AN7,OCT!$F$23:$H$38,3,FALSE),"")</f>
        <v/>
      </c>
    </row>
    <row r="8" spans="2:42" ht="13.5" customHeight="1">
      <c r="B8" s="44"/>
      <c r="C8" s="45"/>
      <c r="D8" s="46"/>
      <c r="V8" s="12">
        <v>1</v>
      </c>
      <c r="W8" s="12" t="str">
        <f t="shared" ref="W8:W18" si="2">IFERROR(VLOOKUP(V8,$AM$3:$AP$65,2,FALSE),"")</f>
        <v/>
      </c>
      <c r="X8" s="12" t="str">
        <f t="shared" ref="X8:X18" si="3">IFERROR(VLOOKUP(V8,$AM$3:$AP$65,4,FALSE),"")</f>
        <v/>
      </c>
      <c r="AM8" s="12" t="str">
        <f t="shared" si="0"/>
        <v/>
      </c>
      <c r="AN8" s="12">
        <f t="shared" si="1"/>
        <v>0</v>
      </c>
      <c r="AO8" s="12" t="s">
        <v>158</v>
      </c>
      <c r="AP8" s="12" t="str">
        <f>IFERROR(VLOOKUP(AN8,OCT!$F$23:$H$38,3,FALSE),"")</f>
        <v/>
      </c>
    </row>
    <row r="9" spans="2:42" ht="13.5" customHeight="1">
      <c r="B9" s="47"/>
      <c r="C9" s="31"/>
      <c r="D9" s="48"/>
      <c r="V9" s="12">
        <v>2</v>
      </c>
      <c r="W9" s="12" t="str">
        <f t="shared" si="2"/>
        <v/>
      </c>
      <c r="X9" s="12" t="str">
        <f t="shared" si="3"/>
        <v/>
      </c>
      <c r="AM9" s="12" t="str">
        <f t="shared" si="0"/>
        <v/>
      </c>
      <c r="AN9" s="12">
        <f t="shared" si="1"/>
        <v>0</v>
      </c>
      <c r="AO9" s="12" t="s">
        <v>158</v>
      </c>
      <c r="AP9" s="12" t="str">
        <f>IFERROR(VLOOKUP(AN9,OCT!$F$23:$H$38,3,FALSE),"")</f>
        <v/>
      </c>
    </row>
    <row r="10" spans="2:42" ht="13.5" customHeight="1">
      <c r="B10" s="14"/>
      <c r="C10" s="14" t="s">
        <v>170</v>
      </c>
      <c r="D10" s="14" t="s">
        <v>171</v>
      </c>
      <c r="V10" s="12">
        <v>3</v>
      </c>
      <c r="W10" s="12" t="str">
        <f t="shared" si="2"/>
        <v/>
      </c>
      <c r="X10" s="12" t="str">
        <f t="shared" si="3"/>
        <v/>
      </c>
      <c r="AM10" s="12" t="str">
        <f t="shared" si="0"/>
        <v/>
      </c>
      <c r="AN10" s="12">
        <f t="shared" si="1"/>
        <v>0</v>
      </c>
      <c r="AO10" s="12" t="s">
        <v>158</v>
      </c>
      <c r="AP10" s="12" t="str">
        <f>IFERROR(VLOOKUP(AN10,OCT!$F$23:$H$38,3,FALSE),"")</f>
        <v/>
      </c>
    </row>
    <row r="11" spans="2:42" ht="13.5" customHeight="1">
      <c r="B11" s="15" t="s">
        <v>157</v>
      </c>
      <c r="C11" s="16">
        <f>SUM(OCT!$C$23:$C$38)</f>
        <v>0</v>
      </c>
      <c r="D11" s="17">
        <f>SUM(OCT!$D$23:$D$38)</f>
        <v>0</v>
      </c>
      <c r="V11" s="12">
        <v>4</v>
      </c>
      <c r="W11" s="12" t="str">
        <f t="shared" si="2"/>
        <v/>
      </c>
      <c r="X11" s="12" t="str">
        <f t="shared" si="3"/>
        <v/>
      </c>
      <c r="AM11" s="12" t="str">
        <f t="shared" si="0"/>
        <v/>
      </c>
      <c r="AN11" s="12">
        <f t="shared" si="1"/>
        <v>0</v>
      </c>
      <c r="AO11" s="12" t="s">
        <v>158</v>
      </c>
      <c r="AP11" s="12" t="str">
        <f>IFERROR(VLOOKUP(AN11,OCT!$F$23:$H$38,3,FALSE),"")</f>
        <v/>
      </c>
    </row>
    <row r="12" spans="2:42" ht="13.5" customHeight="1">
      <c r="B12" s="15" t="s">
        <v>158</v>
      </c>
      <c r="C12" s="16">
        <f>SUM(OCT!$G$23:$G$38)</f>
        <v>0</v>
      </c>
      <c r="D12" s="17">
        <f>SUM(OCT!$H$23:$H$38)</f>
        <v>0</v>
      </c>
      <c r="V12" s="12">
        <v>5</v>
      </c>
      <c r="W12" s="12" t="str">
        <f t="shared" si="2"/>
        <v/>
      </c>
      <c r="X12" s="12" t="str">
        <f t="shared" si="3"/>
        <v/>
      </c>
      <c r="AM12" s="12" t="str">
        <f t="shared" si="0"/>
        <v/>
      </c>
      <c r="AN12" s="12">
        <f t="shared" si="1"/>
        <v>0</v>
      </c>
      <c r="AO12" s="12" t="s">
        <v>158</v>
      </c>
      <c r="AP12" s="12" t="str">
        <f>IFERROR(VLOOKUP(AN12,OCT!$F$23:$H$38,3,FALSE),"")</f>
        <v/>
      </c>
    </row>
    <row r="13" spans="2:42" ht="13.5" customHeight="1">
      <c r="B13" s="15" t="s">
        <v>159</v>
      </c>
      <c r="C13" s="16">
        <f>SUM(OCT!$L$23:$L$38)</f>
        <v>0</v>
      </c>
      <c r="D13" s="17">
        <f>SUM(OCT!$M$23:$M$38)</f>
        <v>0</v>
      </c>
      <c r="V13" s="12">
        <v>6</v>
      </c>
      <c r="W13" s="12" t="str">
        <f t="shared" si="2"/>
        <v/>
      </c>
      <c r="X13" s="12" t="str">
        <f t="shared" si="3"/>
        <v/>
      </c>
      <c r="AM13" s="12" t="str">
        <f t="shared" si="0"/>
        <v/>
      </c>
      <c r="AN13" s="12">
        <f t="shared" si="1"/>
        <v>0</v>
      </c>
      <c r="AO13" s="12" t="s">
        <v>158</v>
      </c>
      <c r="AP13" s="12" t="str">
        <f>IFERROR(VLOOKUP(AN13,OCT!$F$23:$H$38,3,FALSE),"")</f>
        <v/>
      </c>
    </row>
    <row r="14" spans="2:42" ht="13.5" customHeight="1">
      <c r="B14" s="15" t="s">
        <v>160</v>
      </c>
      <c r="C14" s="16">
        <f>SUM(OCT!$Q$23:$Q$38)</f>
        <v>0</v>
      </c>
      <c r="D14" s="17">
        <f>SUM(OCT!$R$23:$R$38)</f>
        <v>0</v>
      </c>
      <c r="V14" s="12">
        <v>7</v>
      </c>
      <c r="W14" s="12" t="str">
        <f t="shared" si="2"/>
        <v/>
      </c>
      <c r="X14" s="12" t="str">
        <f t="shared" si="3"/>
        <v/>
      </c>
      <c r="AM14" s="12" t="str">
        <f t="shared" si="0"/>
        <v/>
      </c>
      <c r="AN14" s="12">
        <f t="shared" si="1"/>
        <v>0</v>
      </c>
      <c r="AO14" s="12" t="s">
        <v>158</v>
      </c>
      <c r="AP14" s="12" t="str">
        <f>IFERROR(VLOOKUP(AN14,OCT!$F$23:$H$38,3,FALSE),"")</f>
        <v/>
      </c>
    </row>
    <row r="15" spans="2:42" ht="13.5" customHeight="1">
      <c r="B15" s="18" t="s">
        <v>161</v>
      </c>
      <c r="C15" s="19">
        <f>SUM(OCT!$V$23:$V$38)</f>
        <v>0</v>
      </c>
      <c r="D15" s="20">
        <f>SUM(OCT!$W$23:$W$38)</f>
        <v>0</v>
      </c>
      <c r="V15" s="12">
        <v>8</v>
      </c>
      <c r="W15" s="12" t="str">
        <f t="shared" si="2"/>
        <v/>
      </c>
      <c r="X15" s="12" t="str">
        <f t="shared" si="3"/>
        <v/>
      </c>
      <c r="AM15" s="12" t="str">
        <f t="shared" si="0"/>
        <v/>
      </c>
      <c r="AN15" s="12">
        <f t="shared" si="1"/>
        <v>0</v>
      </c>
      <c r="AO15" s="12" t="s">
        <v>158</v>
      </c>
      <c r="AP15" s="12" t="str">
        <f>IFERROR(VLOOKUP(AN15,OCT!$F$23:$H$38,3,FALSE),"")</f>
        <v/>
      </c>
    </row>
    <row r="16" spans="2:42" ht="13.5" customHeight="1">
      <c r="B16" s="21" t="s">
        <v>172</v>
      </c>
      <c r="C16" s="22">
        <f t="shared" ref="C16:D16" si="4">(C11-SUM(C12:C15))</f>
        <v>0</v>
      </c>
      <c r="D16" s="22">
        <f t="shared" si="4"/>
        <v>0</v>
      </c>
      <c r="V16" s="12">
        <v>9</v>
      </c>
      <c r="W16" s="12" t="str">
        <f t="shared" si="2"/>
        <v/>
      </c>
      <c r="X16" s="12" t="str">
        <f t="shared" si="3"/>
        <v/>
      </c>
      <c r="AM16" s="12" t="str">
        <f t="shared" si="0"/>
        <v/>
      </c>
      <c r="AN16" s="12">
        <f t="shared" si="1"/>
        <v>0</v>
      </c>
      <c r="AO16" s="12" t="s">
        <v>158</v>
      </c>
      <c r="AP16" s="12" t="str">
        <f>IFERROR(VLOOKUP(AN16,OCT!$F$23:$H$38,3,FALSE),"")</f>
        <v/>
      </c>
    </row>
    <row r="17" spans="2:42" ht="13.5" customHeight="1">
      <c r="C17" s="16"/>
      <c r="D17" s="16"/>
      <c r="V17" s="12">
        <v>10</v>
      </c>
      <c r="W17" s="12" t="str">
        <f t="shared" si="2"/>
        <v/>
      </c>
      <c r="X17" s="12" t="str">
        <f t="shared" si="3"/>
        <v/>
      </c>
      <c r="AM17" s="12" t="str">
        <f t="shared" si="0"/>
        <v/>
      </c>
      <c r="AN17" s="12">
        <f t="shared" si="1"/>
        <v>0</v>
      </c>
      <c r="AO17" s="12" t="s">
        <v>158</v>
      </c>
      <c r="AP17" s="12" t="str">
        <f>IFERROR(VLOOKUP(AN17,OCT!$F$23:$H$38,3,FALSE),"")</f>
        <v/>
      </c>
    </row>
    <row r="18" spans="2:42" ht="13.5" customHeight="1">
      <c r="V18" s="12">
        <v>11</v>
      </c>
      <c r="W18" s="12" t="str">
        <f t="shared" si="2"/>
        <v/>
      </c>
      <c r="X18" s="12" t="str">
        <f t="shared" si="3"/>
        <v/>
      </c>
      <c r="AM18" s="12" t="str">
        <f t="shared" si="0"/>
        <v/>
      </c>
      <c r="AN18" s="12">
        <f t="shared" si="1"/>
        <v>0</v>
      </c>
      <c r="AO18" s="12" t="s">
        <v>158</v>
      </c>
      <c r="AP18" s="12" t="str">
        <f>IFERROR(VLOOKUP(AN18,OCT!$F$23:$H$38,3,FALSE),"")</f>
        <v/>
      </c>
    </row>
    <row r="19" spans="2:42" ht="14.25" customHeight="1">
      <c r="AM19" s="12" t="str">
        <f t="shared" si="0"/>
        <v/>
      </c>
      <c r="AN19" s="12">
        <f t="shared" ref="AN19:AN34" si="5">K23</f>
        <v>0</v>
      </c>
      <c r="AO19" s="12" t="s">
        <v>159</v>
      </c>
      <c r="AP19" s="12" t="str">
        <f>IFERROR(VLOOKUP(AN19,OCT!$K$23:$M$38,3,FALSE),"")</f>
        <v/>
      </c>
    </row>
    <row r="20" spans="2:42" ht="14.25" customHeight="1">
      <c r="B20" s="29" t="s">
        <v>157</v>
      </c>
      <c r="C20" s="30"/>
      <c r="D20" s="25"/>
      <c r="F20" s="29" t="s">
        <v>158</v>
      </c>
      <c r="G20" s="30"/>
      <c r="H20" s="30"/>
      <c r="I20" s="25"/>
      <c r="K20" s="29" t="s">
        <v>159</v>
      </c>
      <c r="L20" s="30"/>
      <c r="M20" s="30"/>
      <c r="N20" s="25"/>
      <c r="P20" s="49" t="s">
        <v>160</v>
      </c>
      <c r="Q20" s="30"/>
      <c r="R20" s="30"/>
      <c r="S20" s="25"/>
      <c r="U20" s="34" t="s">
        <v>161</v>
      </c>
      <c r="V20" s="30"/>
      <c r="W20" s="30"/>
      <c r="X20" s="25"/>
      <c r="AM20" s="12" t="str">
        <f t="shared" si="0"/>
        <v/>
      </c>
      <c r="AN20" s="12">
        <f t="shared" si="5"/>
        <v>0</v>
      </c>
      <c r="AO20" s="12" t="s">
        <v>159</v>
      </c>
      <c r="AP20" s="12" t="str">
        <f>IFERROR(VLOOKUP(AN20,OCT!$K$23:$M$38,3,FALSE),"")</f>
        <v/>
      </c>
    </row>
    <row r="21" spans="2:42" ht="14.25" customHeight="1">
      <c r="B21" s="35"/>
      <c r="C21" s="36"/>
      <c r="D21" s="37"/>
      <c r="F21" s="35"/>
      <c r="G21" s="36"/>
      <c r="H21" s="36"/>
      <c r="I21" s="37"/>
      <c r="K21" s="35"/>
      <c r="L21" s="36"/>
      <c r="M21" s="36"/>
      <c r="N21" s="37"/>
      <c r="P21" s="35"/>
      <c r="Q21" s="36"/>
      <c r="R21" s="36"/>
      <c r="S21" s="37"/>
      <c r="U21" s="35"/>
      <c r="V21" s="36"/>
      <c r="W21" s="36"/>
      <c r="X21" s="37"/>
      <c r="AM21" s="12" t="str">
        <f t="shared" si="0"/>
        <v/>
      </c>
      <c r="AN21" s="12">
        <f t="shared" si="5"/>
        <v>0</v>
      </c>
      <c r="AO21" s="12" t="s">
        <v>159</v>
      </c>
      <c r="AP21" s="12" t="str">
        <f>IFERROR(VLOOKUP(AN21,OCT!$K$23:$M$38,3,FALSE),"")</f>
        <v/>
      </c>
    </row>
    <row r="22" spans="2:42" ht="14.25" customHeight="1">
      <c r="B22" s="15" t="s">
        <v>173</v>
      </c>
      <c r="C22" s="10" t="s">
        <v>170</v>
      </c>
      <c r="D22" s="23" t="s">
        <v>171</v>
      </c>
      <c r="F22" s="15" t="s">
        <v>173</v>
      </c>
      <c r="G22" s="10" t="s">
        <v>170</v>
      </c>
      <c r="H22" s="10" t="s">
        <v>171</v>
      </c>
      <c r="I22" s="23" t="s">
        <v>174</v>
      </c>
      <c r="K22" s="15" t="s">
        <v>173</v>
      </c>
      <c r="L22" s="10" t="s">
        <v>170</v>
      </c>
      <c r="M22" s="10" t="s">
        <v>171</v>
      </c>
      <c r="N22" s="23" t="s">
        <v>174</v>
      </c>
      <c r="P22" s="15" t="s">
        <v>173</v>
      </c>
      <c r="Q22" s="10" t="s">
        <v>170</v>
      </c>
      <c r="R22" s="10" t="s">
        <v>171</v>
      </c>
      <c r="S22" s="23" t="s">
        <v>174</v>
      </c>
      <c r="U22" s="15" t="s">
        <v>173</v>
      </c>
      <c r="V22" s="10" t="s">
        <v>170</v>
      </c>
      <c r="W22" s="10" t="s">
        <v>171</v>
      </c>
      <c r="X22" s="23" t="s">
        <v>174</v>
      </c>
      <c r="AM22" s="12" t="str">
        <f t="shared" si="0"/>
        <v/>
      </c>
      <c r="AN22" s="12">
        <f t="shared" si="5"/>
        <v>0</v>
      </c>
      <c r="AO22" s="12" t="s">
        <v>159</v>
      </c>
      <c r="AP22" s="12" t="str">
        <f>IFERROR(VLOOKUP(AN22,OCT!$K$23:$M$38,3,FALSE),"")</f>
        <v/>
      </c>
    </row>
    <row r="23" spans="2:42" ht="14.25" customHeight="1">
      <c r="B23" s="15"/>
      <c r="C23" s="16"/>
      <c r="D23" s="17"/>
      <c r="F23" s="15"/>
      <c r="G23" s="16"/>
      <c r="H23" s="16"/>
      <c r="I23" s="17">
        <f>OCT!$G23-OCT!$H23</f>
        <v>0</v>
      </c>
      <c r="K23" s="15"/>
      <c r="L23" s="16"/>
      <c r="M23" s="16"/>
      <c r="N23" s="17">
        <f>OCT!$L23-OCT!$M23</f>
        <v>0</v>
      </c>
      <c r="P23" s="15"/>
      <c r="Q23" s="16"/>
      <c r="R23" s="16"/>
      <c r="S23" s="17">
        <f>OCT!$Q23-OCT!$R23</f>
        <v>0</v>
      </c>
      <c r="U23" s="15"/>
      <c r="V23" s="16"/>
      <c r="W23" s="16"/>
      <c r="X23" s="17">
        <f>OCT!$V23-OCT!$W23</f>
        <v>0</v>
      </c>
      <c r="AM23" s="12" t="str">
        <f t="shared" si="0"/>
        <v/>
      </c>
      <c r="AN23" s="12">
        <f t="shared" si="5"/>
        <v>0</v>
      </c>
      <c r="AO23" s="12" t="s">
        <v>159</v>
      </c>
      <c r="AP23" s="12" t="str">
        <f>IFERROR(VLOOKUP(AN23,OCT!$K$23:$M$38,3,FALSE),"")</f>
        <v/>
      </c>
    </row>
    <row r="24" spans="2:42" ht="14.25" customHeight="1">
      <c r="B24" s="15"/>
      <c r="C24" s="16"/>
      <c r="D24" s="17"/>
      <c r="F24" s="15"/>
      <c r="G24" s="16"/>
      <c r="H24" s="16"/>
      <c r="I24" s="17">
        <f>OCT!$G24-OCT!$H24</f>
        <v>0</v>
      </c>
      <c r="K24" s="15"/>
      <c r="L24" s="16"/>
      <c r="M24" s="16"/>
      <c r="N24" s="17">
        <f>OCT!$L24-OCT!$M24</f>
        <v>0</v>
      </c>
      <c r="P24" s="15"/>
      <c r="Q24" s="16"/>
      <c r="R24" s="16"/>
      <c r="S24" s="17">
        <f>OCT!$Q24-OCT!$R24</f>
        <v>0</v>
      </c>
      <c r="U24" s="15"/>
      <c r="V24" s="16"/>
      <c r="W24" s="16"/>
      <c r="X24" s="17">
        <f>OCT!$V24-OCT!$W24</f>
        <v>0</v>
      </c>
      <c r="AM24" s="12" t="str">
        <f t="shared" si="0"/>
        <v/>
      </c>
      <c r="AN24" s="12">
        <f t="shared" si="5"/>
        <v>0</v>
      </c>
      <c r="AO24" s="12" t="s">
        <v>159</v>
      </c>
      <c r="AP24" s="12" t="str">
        <f>IFERROR(VLOOKUP(AN24,OCT!$K$23:$M$38,3,FALSE),"")</f>
        <v/>
      </c>
    </row>
    <row r="25" spans="2:42" ht="14.25" customHeight="1">
      <c r="B25" s="15"/>
      <c r="C25" s="16"/>
      <c r="D25" s="17"/>
      <c r="F25" s="15"/>
      <c r="G25" s="16"/>
      <c r="H25" s="16"/>
      <c r="I25" s="17">
        <f>OCT!$G25-OCT!$H25</f>
        <v>0</v>
      </c>
      <c r="K25" s="15"/>
      <c r="L25" s="16"/>
      <c r="M25" s="16"/>
      <c r="N25" s="17">
        <f>OCT!$L25-OCT!$M25</f>
        <v>0</v>
      </c>
      <c r="P25" s="15"/>
      <c r="Q25" s="16"/>
      <c r="R25" s="16"/>
      <c r="S25" s="17">
        <f>OCT!$Q25-OCT!$R25</f>
        <v>0</v>
      </c>
      <c r="U25" s="15"/>
      <c r="V25" s="16"/>
      <c r="W25" s="16"/>
      <c r="X25" s="17">
        <f>OCT!$V25-OCT!$W25</f>
        <v>0</v>
      </c>
      <c r="AM25" s="12" t="str">
        <f t="shared" si="0"/>
        <v/>
      </c>
      <c r="AN25" s="12">
        <f t="shared" si="5"/>
        <v>0</v>
      </c>
      <c r="AO25" s="12" t="s">
        <v>159</v>
      </c>
      <c r="AP25" s="12" t="str">
        <f>IFERROR(VLOOKUP(AN25,OCT!$K$23:$M$38,3,FALSE),"")</f>
        <v/>
      </c>
    </row>
    <row r="26" spans="2:42" ht="14.25" customHeight="1">
      <c r="B26" s="15"/>
      <c r="C26" s="16"/>
      <c r="D26" s="17"/>
      <c r="F26" s="15"/>
      <c r="G26" s="16"/>
      <c r="H26" s="16"/>
      <c r="I26" s="17">
        <f>OCT!$G26-OCT!$H26</f>
        <v>0</v>
      </c>
      <c r="K26" s="15"/>
      <c r="L26" s="16"/>
      <c r="M26" s="16"/>
      <c r="N26" s="17">
        <f>OCT!$L26-OCT!$M26</f>
        <v>0</v>
      </c>
      <c r="P26" s="15"/>
      <c r="Q26" s="16"/>
      <c r="R26" s="16"/>
      <c r="S26" s="17">
        <f>OCT!$Q26-OCT!$R26</f>
        <v>0</v>
      </c>
      <c r="U26" s="15"/>
      <c r="V26" s="16"/>
      <c r="W26" s="16"/>
      <c r="X26" s="17">
        <f>OCT!$V26-OCT!$W26</f>
        <v>0</v>
      </c>
      <c r="AM26" s="12" t="str">
        <f t="shared" si="0"/>
        <v/>
      </c>
      <c r="AN26" s="12">
        <f t="shared" si="5"/>
        <v>0</v>
      </c>
      <c r="AO26" s="12" t="s">
        <v>159</v>
      </c>
      <c r="AP26" s="12" t="str">
        <f>IFERROR(VLOOKUP(AN26,OCT!$K$23:$M$38,3,FALSE),"")</f>
        <v/>
      </c>
    </row>
    <row r="27" spans="2:42" ht="14.25" customHeight="1">
      <c r="B27" s="15"/>
      <c r="C27" s="16"/>
      <c r="D27" s="17"/>
      <c r="F27" s="15"/>
      <c r="G27" s="16"/>
      <c r="H27" s="16"/>
      <c r="I27" s="17">
        <f>OCT!$G27-OCT!$H27</f>
        <v>0</v>
      </c>
      <c r="K27" s="15"/>
      <c r="L27" s="16"/>
      <c r="M27" s="16"/>
      <c r="N27" s="17">
        <f>OCT!$L27-OCT!$M27</f>
        <v>0</v>
      </c>
      <c r="P27" s="15"/>
      <c r="Q27" s="16"/>
      <c r="R27" s="16"/>
      <c r="S27" s="17">
        <f>OCT!$Q27-OCT!$R27</f>
        <v>0</v>
      </c>
      <c r="U27" s="15"/>
      <c r="V27" s="16"/>
      <c r="W27" s="16"/>
      <c r="X27" s="17">
        <f>OCT!$V27-OCT!$W27</f>
        <v>0</v>
      </c>
      <c r="AM27" s="12" t="str">
        <f t="shared" si="0"/>
        <v/>
      </c>
      <c r="AN27" s="12">
        <f t="shared" si="5"/>
        <v>0</v>
      </c>
      <c r="AO27" s="12" t="s">
        <v>159</v>
      </c>
      <c r="AP27" s="12" t="str">
        <f>IFERROR(VLOOKUP(AN27,OCT!$K$23:$M$38,3,FALSE),"")</f>
        <v/>
      </c>
    </row>
    <row r="28" spans="2:42" ht="14.25" customHeight="1">
      <c r="B28" s="15"/>
      <c r="C28" s="16"/>
      <c r="D28" s="17"/>
      <c r="F28" s="15"/>
      <c r="G28" s="16"/>
      <c r="H28" s="16"/>
      <c r="I28" s="17">
        <f>OCT!$G28-OCT!$H28</f>
        <v>0</v>
      </c>
      <c r="K28" s="15"/>
      <c r="L28" s="16"/>
      <c r="M28" s="16"/>
      <c r="N28" s="17">
        <f>OCT!$L28-OCT!$M28</f>
        <v>0</v>
      </c>
      <c r="P28" s="15"/>
      <c r="Q28" s="16"/>
      <c r="R28" s="16"/>
      <c r="S28" s="17">
        <f>OCT!$Q28-OCT!$R28</f>
        <v>0</v>
      </c>
      <c r="U28" s="15"/>
      <c r="V28" s="16"/>
      <c r="W28" s="16"/>
      <c r="X28" s="17">
        <f>OCT!$V28-OCT!$W28</f>
        <v>0</v>
      </c>
      <c r="AM28" s="12" t="str">
        <f t="shared" si="0"/>
        <v/>
      </c>
      <c r="AN28" s="12">
        <f t="shared" si="5"/>
        <v>0</v>
      </c>
      <c r="AO28" s="12" t="s">
        <v>159</v>
      </c>
      <c r="AP28" s="12" t="str">
        <f>IFERROR(VLOOKUP(AN28,OCT!$K$23:$M$38,3,FALSE),"")</f>
        <v/>
      </c>
    </row>
    <row r="29" spans="2:42" ht="14.25" customHeight="1">
      <c r="B29" s="15"/>
      <c r="C29" s="16"/>
      <c r="D29" s="17"/>
      <c r="F29" s="15"/>
      <c r="G29" s="16"/>
      <c r="H29" s="16"/>
      <c r="I29" s="17">
        <f>OCT!$G29-OCT!$H29</f>
        <v>0</v>
      </c>
      <c r="K29" s="15"/>
      <c r="L29" s="16"/>
      <c r="M29" s="16"/>
      <c r="N29" s="17">
        <f>OCT!$L29-OCT!$M29</f>
        <v>0</v>
      </c>
      <c r="P29" s="15"/>
      <c r="Q29" s="16"/>
      <c r="R29" s="16"/>
      <c r="S29" s="17">
        <f>OCT!$Q29-OCT!$R29</f>
        <v>0</v>
      </c>
      <c r="U29" s="15"/>
      <c r="V29" s="16"/>
      <c r="W29" s="16"/>
      <c r="X29" s="17">
        <f>OCT!$V29-OCT!$W29</f>
        <v>0</v>
      </c>
      <c r="AM29" s="12" t="str">
        <f t="shared" si="0"/>
        <v/>
      </c>
      <c r="AN29" s="12">
        <f t="shared" si="5"/>
        <v>0</v>
      </c>
      <c r="AO29" s="12" t="s">
        <v>159</v>
      </c>
      <c r="AP29" s="12" t="str">
        <f>IFERROR(VLOOKUP(AN29,OCT!$K$23:$M$38,3,FALSE),"")</f>
        <v/>
      </c>
    </row>
    <row r="30" spans="2:42" ht="14.25" customHeight="1">
      <c r="B30" s="15"/>
      <c r="C30" s="16"/>
      <c r="D30" s="17"/>
      <c r="F30" s="15"/>
      <c r="G30" s="16"/>
      <c r="H30" s="16"/>
      <c r="I30" s="17">
        <f>OCT!$G30-OCT!$H30</f>
        <v>0</v>
      </c>
      <c r="K30" s="15"/>
      <c r="L30" s="16"/>
      <c r="M30" s="16"/>
      <c r="N30" s="17">
        <f>OCT!$L30-OCT!$M30</f>
        <v>0</v>
      </c>
      <c r="P30" s="15"/>
      <c r="Q30" s="16"/>
      <c r="R30" s="16"/>
      <c r="S30" s="17">
        <f>OCT!$Q30-OCT!$R30</f>
        <v>0</v>
      </c>
      <c r="U30" s="15"/>
      <c r="V30" s="16"/>
      <c r="W30" s="16"/>
      <c r="X30" s="17">
        <f>OCT!$V30-OCT!$W30</f>
        <v>0</v>
      </c>
      <c r="AM30" s="12" t="str">
        <f t="shared" si="0"/>
        <v/>
      </c>
      <c r="AN30" s="12">
        <f t="shared" si="5"/>
        <v>0</v>
      </c>
      <c r="AO30" s="12" t="s">
        <v>159</v>
      </c>
      <c r="AP30" s="12" t="str">
        <f>IFERROR(VLOOKUP(AN30,OCT!$K$23:$M$38,3,FALSE),"")</f>
        <v/>
      </c>
    </row>
    <row r="31" spans="2:42" ht="14.25" customHeight="1">
      <c r="B31" s="15"/>
      <c r="C31" s="16"/>
      <c r="D31" s="17"/>
      <c r="F31" s="15"/>
      <c r="G31" s="16"/>
      <c r="H31" s="16"/>
      <c r="I31" s="17">
        <f>OCT!$G31-OCT!$H31</f>
        <v>0</v>
      </c>
      <c r="K31" s="15"/>
      <c r="L31" s="16"/>
      <c r="M31" s="16"/>
      <c r="N31" s="17">
        <f>OCT!$L31-OCT!$M31</f>
        <v>0</v>
      </c>
      <c r="P31" s="15"/>
      <c r="Q31" s="16"/>
      <c r="R31" s="16"/>
      <c r="S31" s="17">
        <f>OCT!$Q31-OCT!$R31</f>
        <v>0</v>
      </c>
      <c r="U31" s="15"/>
      <c r="V31" s="16"/>
      <c r="W31" s="16"/>
      <c r="X31" s="17">
        <f>OCT!$V31-OCT!$W31</f>
        <v>0</v>
      </c>
      <c r="AM31" s="12" t="str">
        <f t="shared" si="0"/>
        <v/>
      </c>
      <c r="AN31" s="12">
        <f t="shared" si="5"/>
        <v>0</v>
      </c>
      <c r="AO31" s="12" t="s">
        <v>159</v>
      </c>
      <c r="AP31" s="12" t="str">
        <f>IFERROR(VLOOKUP(AN31,OCT!$K$23:$M$38,3,FALSE),"")</f>
        <v/>
      </c>
    </row>
    <row r="32" spans="2:42" ht="14.25" customHeight="1">
      <c r="B32" s="15"/>
      <c r="C32" s="16"/>
      <c r="D32" s="17"/>
      <c r="F32" s="15"/>
      <c r="G32" s="16"/>
      <c r="H32" s="16"/>
      <c r="I32" s="17">
        <f>OCT!$G32-OCT!$H32</f>
        <v>0</v>
      </c>
      <c r="K32" s="15"/>
      <c r="L32" s="16"/>
      <c r="M32" s="16"/>
      <c r="N32" s="17">
        <f>OCT!$L32-OCT!$M32</f>
        <v>0</v>
      </c>
      <c r="P32" s="15"/>
      <c r="Q32" s="16"/>
      <c r="R32" s="16"/>
      <c r="S32" s="17">
        <f>OCT!$Q32-OCT!$R32</f>
        <v>0</v>
      </c>
      <c r="U32" s="15"/>
      <c r="V32" s="16"/>
      <c r="W32" s="16"/>
      <c r="X32" s="17">
        <f>OCT!$V32-OCT!$W32</f>
        <v>0</v>
      </c>
      <c r="AM32" s="12" t="str">
        <f t="shared" si="0"/>
        <v/>
      </c>
      <c r="AN32" s="12">
        <f t="shared" si="5"/>
        <v>0</v>
      </c>
      <c r="AO32" s="12" t="s">
        <v>159</v>
      </c>
      <c r="AP32" s="12" t="str">
        <f>IFERROR(VLOOKUP(AN32,OCT!$K$23:$M$38,3,FALSE),"")</f>
        <v/>
      </c>
    </row>
    <row r="33" spans="2:42" ht="14.25" customHeight="1">
      <c r="B33" s="15"/>
      <c r="C33" s="16"/>
      <c r="D33" s="17"/>
      <c r="F33" s="15"/>
      <c r="G33" s="16"/>
      <c r="H33" s="16"/>
      <c r="I33" s="17">
        <f>OCT!$G33-OCT!$H33</f>
        <v>0</v>
      </c>
      <c r="K33" s="15"/>
      <c r="L33" s="16"/>
      <c r="M33" s="16"/>
      <c r="N33" s="17">
        <f>OCT!$L33-OCT!$M33</f>
        <v>0</v>
      </c>
      <c r="P33" s="15"/>
      <c r="Q33" s="16"/>
      <c r="R33" s="16"/>
      <c r="S33" s="17">
        <f>OCT!$Q33-OCT!$R33</f>
        <v>0</v>
      </c>
      <c r="U33" s="15"/>
      <c r="V33" s="16"/>
      <c r="W33" s="16"/>
      <c r="X33" s="17">
        <f>OCT!$V33-OCT!$W33</f>
        <v>0</v>
      </c>
      <c r="AM33" s="12" t="str">
        <f t="shared" si="0"/>
        <v/>
      </c>
      <c r="AN33" s="12">
        <f t="shared" si="5"/>
        <v>0</v>
      </c>
      <c r="AO33" s="12" t="s">
        <v>159</v>
      </c>
      <c r="AP33" s="12" t="str">
        <f>IFERROR(VLOOKUP(AN33,OCT!$K$23:$M$38,3,FALSE),"")</f>
        <v/>
      </c>
    </row>
    <row r="34" spans="2:42" ht="14.25" customHeight="1">
      <c r="B34" s="15"/>
      <c r="C34" s="16"/>
      <c r="D34" s="17"/>
      <c r="F34" s="15"/>
      <c r="G34" s="16"/>
      <c r="H34" s="16"/>
      <c r="I34" s="17">
        <f>OCT!$G34-OCT!$H34</f>
        <v>0</v>
      </c>
      <c r="K34" s="15"/>
      <c r="L34" s="16"/>
      <c r="M34" s="16"/>
      <c r="N34" s="17">
        <f>OCT!$L34-OCT!$M34</f>
        <v>0</v>
      </c>
      <c r="P34" s="15"/>
      <c r="Q34" s="16"/>
      <c r="R34" s="16"/>
      <c r="S34" s="17">
        <f>OCT!$Q34-OCT!$R34</f>
        <v>0</v>
      </c>
      <c r="U34" s="15"/>
      <c r="V34" s="16"/>
      <c r="W34" s="16"/>
      <c r="X34" s="17">
        <f>OCT!$V34-OCT!$W34</f>
        <v>0</v>
      </c>
      <c r="AM34" s="12" t="str">
        <f t="shared" si="0"/>
        <v/>
      </c>
      <c r="AN34" s="12">
        <f t="shared" si="5"/>
        <v>0</v>
      </c>
      <c r="AO34" s="12" t="s">
        <v>175</v>
      </c>
      <c r="AP34" s="12" t="str">
        <f>IFERROR(VLOOKUP(AN34,OCT!$K$23:$M$38,3,FALSE),"")</f>
        <v/>
      </c>
    </row>
    <row r="35" spans="2:42" ht="14.25" customHeight="1">
      <c r="B35" s="15"/>
      <c r="C35" s="16"/>
      <c r="D35" s="17"/>
      <c r="F35" s="15"/>
      <c r="G35" s="16"/>
      <c r="H35" s="16"/>
      <c r="I35" s="17">
        <f>OCT!$G35-OCT!$H35</f>
        <v>0</v>
      </c>
      <c r="K35" s="15"/>
      <c r="L35" s="16"/>
      <c r="M35" s="16"/>
      <c r="N35" s="17">
        <f>OCT!$L35-OCT!$M35</f>
        <v>0</v>
      </c>
      <c r="P35" s="15"/>
      <c r="Q35" s="16"/>
      <c r="R35" s="16"/>
      <c r="S35" s="17">
        <f>OCT!$Q35-OCT!$R35</f>
        <v>0</v>
      </c>
      <c r="U35" s="15"/>
      <c r="V35" s="16"/>
      <c r="W35" s="16"/>
      <c r="X35" s="17">
        <f>OCT!$V35-OCT!$W35</f>
        <v>0</v>
      </c>
      <c r="AM35" s="12" t="str">
        <f t="shared" si="0"/>
        <v/>
      </c>
      <c r="AN35" s="12">
        <f t="shared" ref="AN35:AN49" si="6">P23</f>
        <v>0</v>
      </c>
      <c r="AO35" s="12" t="s">
        <v>175</v>
      </c>
      <c r="AP35" s="12" t="str">
        <f>IFERROR(VLOOKUP(AN35,OCT!$P$23:$R$38,3,FALSE),"")</f>
        <v/>
      </c>
    </row>
    <row r="36" spans="2:42" ht="14.25" customHeight="1">
      <c r="B36" s="15"/>
      <c r="C36" s="16"/>
      <c r="D36" s="17"/>
      <c r="F36" s="15"/>
      <c r="G36" s="16"/>
      <c r="H36" s="16"/>
      <c r="I36" s="17">
        <f>OCT!$G36-OCT!$H36</f>
        <v>0</v>
      </c>
      <c r="K36" s="15"/>
      <c r="L36" s="16"/>
      <c r="M36" s="16"/>
      <c r="N36" s="17">
        <f>OCT!$L36-OCT!$M36</f>
        <v>0</v>
      </c>
      <c r="P36" s="15"/>
      <c r="Q36" s="16"/>
      <c r="R36" s="16"/>
      <c r="S36" s="17">
        <f>OCT!$Q36-OCT!$R36</f>
        <v>0</v>
      </c>
      <c r="U36" s="15"/>
      <c r="V36" s="16"/>
      <c r="W36" s="16"/>
      <c r="X36" s="17">
        <f>OCT!$V36-OCT!$W36</f>
        <v>0</v>
      </c>
      <c r="AM36" s="12" t="str">
        <f t="shared" si="0"/>
        <v/>
      </c>
      <c r="AN36" s="12">
        <f t="shared" si="6"/>
        <v>0</v>
      </c>
      <c r="AO36" s="12" t="s">
        <v>175</v>
      </c>
      <c r="AP36" s="12" t="str">
        <f>IFERROR(VLOOKUP(AN36,OCT!$P$23:$R$38,3,FALSE),"")</f>
        <v/>
      </c>
    </row>
    <row r="37" spans="2:42" ht="14.25" customHeight="1">
      <c r="B37" s="15"/>
      <c r="C37" s="16"/>
      <c r="D37" s="17"/>
      <c r="F37" s="15"/>
      <c r="G37" s="16"/>
      <c r="H37" s="16"/>
      <c r="I37" s="17">
        <f>OCT!$G37-OCT!$H37</f>
        <v>0</v>
      </c>
      <c r="K37" s="15"/>
      <c r="L37" s="16"/>
      <c r="M37" s="16"/>
      <c r="N37" s="17">
        <f>OCT!$L37-OCT!$M37</f>
        <v>0</v>
      </c>
      <c r="P37" s="15"/>
      <c r="Q37" s="16"/>
      <c r="R37" s="16"/>
      <c r="S37" s="17">
        <f>OCT!$Q37-OCT!$R37</f>
        <v>0</v>
      </c>
      <c r="U37" s="15"/>
      <c r="V37" s="16"/>
      <c r="W37" s="16"/>
      <c r="X37" s="17">
        <f>OCT!$V37-OCT!$W37</f>
        <v>0</v>
      </c>
      <c r="AM37" s="12" t="str">
        <f t="shared" si="0"/>
        <v/>
      </c>
      <c r="AN37" s="12">
        <f t="shared" si="6"/>
        <v>0</v>
      </c>
      <c r="AO37" s="12" t="s">
        <v>175</v>
      </c>
      <c r="AP37" s="12" t="str">
        <f>IFERROR(VLOOKUP(AN37,OCT!$P$23:$R$38,3,FALSE),"")</f>
        <v/>
      </c>
    </row>
    <row r="38" spans="2:42" ht="14.25" customHeight="1">
      <c r="B38" s="18"/>
      <c r="C38" s="19"/>
      <c r="D38" s="20"/>
      <c r="F38" s="18"/>
      <c r="G38" s="19"/>
      <c r="H38" s="19"/>
      <c r="I38" s="20">
        <f>OCT!$G38-OCT!$H38</f>
        <v>0</v>
      </c>
      <c r="K38" s="18"/>
      <c r="L38" s="19"/>
      <c r="M38" s="19"/>
      <c r="N38" s="20">
        <f>OCT!$L38-OCT!$M38</f>
        <v>0</v>
      </c>
      <c r="P38" s="18"/>
      <c r="Q38" s="19"/>
      <c r="R38" s="19"/>
      <c r="S38" s="20">
        <f>OCT!$Q38-OCT!$R38</f>
        <v>0</v>
      </c>
      <c r="U38" s="18"/>
      <c r="V38" s="19"/>
      <c r="W38" s="19"/>
      <c r="X38" s="20">
        <f>OCT!$V38-OCT!$W38</f>
        <v>0</v>
      </c>
      <c r="AM38" s="12" t="str">
        <f t="shared" si="0"/>
        <v/>
      </c>
      <c r="AN38" s="12">
        <f t="shared" si="6"/>
        <v>0</v>
      </c>
      <c r="AO38" s="12" t="s">
        <v>175</v>
      </c>
      <c r="AP38" s="12" t="str">
        <f>IFERROR(VLOOKUP(AN38,OCT!$P$23:$R$38,3,FALSE),"")</f>
        <v/>
      </c>
    </row>
    <row r="39" spans="2:42" ht="14.25" customHeight="1">
      <c r="AM39" s="12" t="str">
        <f t="shared" si="0"/>
        <v/>
      </c>
      <c r="AN39" s="12">
        <f t="shared" si="6"/>
        <v>0</v>
      </c>
      <c r="AO39" s="12" t="s">
        <v>175</v>
      </c>
      <c r="AP39" s="12" t="str">
        <f>IFERROR(VLOOKUP(AN39,OCT!$P$23:$R$38,3,FALSE),"")</f>
        <v/>
      </c>
    </row>
    <row r="40" spans="2:42" ht="14.25" customHeight="1">
      <c r="AM40" s="12" t="str">
        <f t="shared" si="0"/>
        <v/>
      </c>
      <c r="AN40" s="12">
        <f t="shared" si="6"/>
        <v>0</v>
      </c>
      <c r="AO40" s="12" t="s">
        <v>175</v>
      </c>
      <c r="AP40" s="12" t="str">
        <f>IFERROR(VLOOKUP(AN40,OCT!$P$23:$R$38,3,FALSE),"")</f>
        <v/>
      </c>
    </row>
    <row r="41" spans="2:42" ht="14.25" customHeight="1">
      <c r="AM41" s="12" t="str">
        <f t="shared" si="0"/>
        <v/>
      </c>
      <c r="AN41" s="12">
        <f t="shared" si="6"/>
        <v>0</v>
      </c>
      <c r="AO41" s="12" t="s">
        <v>175</v>
      </c>
      <c r="AP41" s="12" t="str">
        <f>IFERROR(VLOOKUP(AN41,OCT!$P$23:$R$38,3,FALSE),"")</f>
        <v/>
      </c>
    </row>
    <row r="42" spans="2:42" ht="14.25" customHeight="1">
      <c r="AM42" s="12" t="str">
        <f t="shared" si="0"/>
        <v/>
      </c>
      <c r="AN42" s="12">
        <f t="shared" si="6"/>
        <v>0</v>
      </c>
      <c r="AO42" s="12" t="s">
        <v>175</v>
      </c>
      <c r="AP42" s="12" t="str">
        <f>IFERROR(VLOOKUP(AN42,OCT!$P$23:$R$38,3,FALSE),"")</f>
        <v/>
      </c>
    </row>
    <row r="43" spans="2:42" ht="14.25" customHeight="1">
      <c r="AM43" s="12" t="str">
        <f t="shared" si="0"/>
        <v/>
      </c>
      <c r="AN43" s="12">
        <f t="shared" si="6"/>
        <v>0</v>
      </c>
      <c r="AO43" s="12" t="s">
        <v>175</v>
      </c>
      <c r="AP43" s="12" t="str">
        <f>IFERROR(VLOOKUP(AN43,OCT!$P$23:$R$38,3,FALSE),"")</f>
        <v/>
      </c>
    </row>
    <row r="44" spans="2:42" ht="14.25" customHeight="1">
      <c r="AM44" s="12" t="str">
        <f t="shared" si="0"/>
        <v/>
      </c>
      <c r="AN44" s="12">
        <f t="shared" si="6"/>
        <v>0</v>
      </c>
      <c r="AO44" s="12" t="s">
        <v>175</v>
      </c>
      <c r="AP44" s="12" t="str">
        <f>IFERROR(VLOOKUP(AN44,OCT!$P$23:$R$38,3,FALSE),"")</f>
        <v/>
      </c>
    </row>
    <row r="45" spans="2:42" ht="14.25" customHeight="1">
      <c r="AM45" s="12" t="str">
        <f t="shared" si="0"/>
        <v/>
      </c>
      <c r="AN45" s="12">
        <f t="shared" si="6"/>
        <v>0</v>
      </c>
      <c r="AO45" s="12" t="s">
        <v>175</v>
      </c>
      <c r="AP45" s="12" t="str">
        <f>IFERROR(VLOOKUP(AN45,OCT!$P$23:$R$38,3,FALSE),"")</f>
        <v/>
      </c>
    </row>
    <row r="46" spans="2:42" ht="14.25" customHeight="1">
      <c r="AM46" s="12" t="str">
        <f t="shared" si="0"/>
        <v/>
      </c>
      <c r="AN46" s="12">
        <f t="shared" si="6"/>
        <v>0</v>
      </c>
      <c r="AO46" s="12" t="s">
        <v>175</v>
      </c>
      <c r="AP46" s="12" t="str">
        <f>IFERROR(VLOOKUP(AN46,OCT!$P$23:$R$38,3,FALSE),"")</f>
        <v/>
      </c>
    </row>
    <row r="47" spans="2:42" ht="14.25" customHeight="1">
      <c r="AM47" s="12" t="str">
        <f t="shared" si="0"/>
        <v/>
      </c>
      <c r="AN47" s="12">
        <f t="shared" si="6"/>
        <v>0</v>
      </c>
      <c r="AO47" s="12" t="s">
        <v>175</v>
      </c>
      <c r="AP47" s="12" t="str">
        <f>IFERROR(VLOOKUP(AN47,OCT!$P$23:$R$38,3,FALSE),"")</f>
        <v/>
      </c>
    </row>
    <row r="48" spans="2:42" ht="14.25" customHeight="1">
      <c r="AM48" s="12" t="str">
        <f t="shared" si="0"/>
        <v/>
      </c>
      <c r="AN48" s="12">
        <f t="shared" si="6"/>
        <v>0</v>
      </c>
      <c r="AO48" s="12" t="s">
        <v>175</v>
      </c>
      <c r="AP48" s="12" t="str">
        <f>IFERROR(VLOOKUP(AN48,OCT!$P$23:$R$38,3,FALSE),"")</f>
        <v/>
      </c>
    </row>
    <row r="49" spans="39:42" ht="14.25" customHeight="1">
      <c r="AM49" s="12" t="str">
        <f t="shared" si="0"/>
        <v/>
      </c>
      <c r="AN49" s="12">
        <f t="shared" si="6"/>
        <v>0</v>
      </c>
      <c r="AO49" s="12" t="s">
        <v>161</v>
      </c>
      <c r="AP49" s="12" t="str">
        <f>IFERROR(VLOOKUP(AN49,OCT!$P$23:$R$38,3,FALSE),"")</f>
        <v/>
      </c>
    </row>
    <row r="50" spans="39:42" ht="14.25" customHeight="1">
      <c r="AM50" s="12" t="str">
        <f t="shared" si="0"/>
        <v/>
      </c>
      <c r="AN50" s="12">
        <f t="shared" ref="AN50:AN65" si="7">U23</f>
        <v>0</v>
      </c>
      <c r="AO50" s="12" t="s">
        <v>161</v>
      </c>
      <c r="AP50" s="12" t="str">
        <f>IFERROR(VLOOKUP(AN50,OCT!$U$23:$W$38,3,FALSE),"")</f>
        <v/>
      </c>
    </row>
    <row r="51" spans="39:42" ht="14.25" customHeight="1">
      <c r="AM51" s="12" t="str">
        <f t="shared" si="0"/>
        <v/>
      </c>
      <c r="AN51" s="12">
        <f t="shared" si="7"/>
        <v>0</v>
      </c>
      <c r="AO51" s="12" t="s">
        <v>161</v>
      </c>
      <c r="AP51" s="12" t="str">
        <f>IFERROR(VLOOKUP(AN51,OCT!$U$23:$W$38,3,FALSE),"")</f>
        <v/>
      </c>
    </row>
    <row r="52" spans="39:42" ht="14.25" customHeight="1">
      <c r="AM52" s="12" t="str">
        <f t="shared" si="0"/>
        <v/>
      </c>
      <c r="AN52" s="12">
        <f t="shared" si="7"/>
        <v>0</v>
      </c>
      <c r="AO52" s="12" t="s">
        <v>161</v>
      </c>
      <c r="AP52" s="12" t="str">
        <f>IFERROR(VLOOKUP(AN52,OCT!$U$23:$W$38,3,FALSE),"")</f>
        <v/>
      </c>
    </row>
    <row r="53" spans="39:42" ht="14.25" customHeight="1">
      <c r="AM53" s="12" t="str">
        <f t="shared" si="0"/>
        <v/>
      </c>
      <c r="AN53" s="12">
        <f t="shared" si="7"/>
        <v>0</v>
      </c>
      <c r="AO53" s="12" t="s">
        <v>161</v>
      </c>
      <c r="AP53" s="12" t="str">
        <f>IFERROR(VLOOKUP(AN53,OCT!$U$23:$W$38,3,FALSE),"")</f>
        <v/>
      </c>
    </row>
    <row r="54" spans="39:42" ht="14.25" customHeight="1">
      <c r="AM54" s="12" t="str">
        <f t="shared" si="0"/>
        <v/>
      </c>
      <c r="AN54" s="12">
        <f t="shared" si="7"/>
        <v>0</v>
      </c>
      <c r="AO54" s="12" t="s">
        <v>161</v>
      </c>
      <c r="AP54" s="12" t="str">
        <f>IFERROR(VLOOKUP(AN54,OCT!$U$23:$W$38,3,FALSE),"")</f>
        <v/>
      </c>
    </row>
    <row r="55" spans="39:42" ht="14.25" customHeight="1">
      <c r="AM55" s="12" t="str">
        <f t="shared" si="0"/>
        <v/>
      </c>
      <c r="AN55" s="12">
        <f t="shared" si="7"/>
        <v>0</v>
      </c>
      <c r="AO55" s="12" t="s">
        <v>161</v>
      </c>
      <c r="AP55" s="12" t="str">
        <f>IFERROR(VLOOKUP(AN55,OCT!$U$23:$W$38,3,FALSE),"")</f>
        <v/>
      </c>
    </row>
    <row r="56" spans="39:42" ht="14.25" customHeight="1">
      <c r="AM56" s="12" t="str">
        <f t="shared" si="0"/>
        <v/>
      </c>
      <c r="AN56" s="12">
        <f t="shared" si="7"/>
        <v>0</v>
      </c>
      <c r="AO56" s="12" t="s">
        <v>161</v>
      </c>
      <c r="AP56" s="12" t="str">
        <f>IFERROR(VLOOKUP(AN56,OCT!$U$23:$W$38,3,FALSE),"")</f>
        <v/>
      </c>
    </row>
    <row r="57" spans="39:42" ht="14.25" customHeight="1">
      <c r="AM57" s="12" t="str">
        <f t="shared" si="0"/>
        <v/>
      </c>
      <c r="AN57" s="12">
        <f t="shared" si="7"/>
        <v>0</v>
      </c>
      <c r="AO57" s="12" t="s">
        <v>161</v>
      </c>
      <c r="AP57" s="12" t="str">
        <f>IFERROR(VLOOKUP(AN57,OCT!$U$23:$W$38,3,FALSE),"")</f>
        <v/>
      </c>
    </row>
    <row r="58" spans="39:42" ht="14.25" customHeight="1">
      <c r="AM58" s="12" t="str">
        <f t="shared" si="0"/>
        <v/>
      </c>
      <c r="AN58" s="12">
        <f t="shared" si="7"/>
        <v>0</v>
      </c>
      <c r="AO58" s="12" t="s">
        <v>161</v>
      </c>
      <c r="AP58" s="12" t="str">
        <f>IFERROR(VLOOKUP(AN58,OCT!$U$23:$W$38,3,FALSE),"")</f>
        <v/>
      </c>
    </row>
    <row r="59" spans="39:42" ht="14.25" customHeight="1">
      <c r="AM59" s="12" t="str">
        <f t="shared" si="0"/>
        <v/>
      </c>
      <c r="AN59" s="12">
        <f t="shared" si="7"/>
        <v>0</v>
      </c>
      <c r="AO59" s="12" t="s">
        <v>161</v>
      </c>
      <c r="AP59" s="12" t="str">
        <f>IFERROR(VLOOKUP(AN59,OCT!$U$23:$W$38,3,FALSE),"")</f>
        <v/>
      </c>
    </row>
    <row r="60" spans="39:42" ht="14.25" customHeight="1">
      <c r="AM60" s="12" t="str">
        <f t="shared" si="0"/>
        <v/>
      </c>
      <c r="AN60" s="12">
        <f t="shared" si="7"/>
        <v>0</v>
      </c>
      <c r="AO60" s="12" t="s">
        <v>161</v>
      </c>
      <c r="AP60" s="12" t="str">
        <f>IFERROR(VLOOKUP(AN60,OCT!$U$23:$W$38,3,FALSE),"")</f>
        <v/>
      </c>
    </row>
    <row r="61" spans="39:42" ht="14.25" customHeight="1">
      <c r="AM61" s="12" t="str">
        <f t="shared" si="0"/>
        <v/>
      </c>
      <c r="AN61" s="12">
        <f t="shared" si="7"/>
        <v>0</v>
      </c>
      <c r="AO61" s="12" t="s">
        <v>161</v>
      </c>
      <c r="AP61" s="12" t="str">
        <f>IFERROR(VLOOKUP(AN61,OCT!$U$23:$W$38,3,FALSE),"")</f>
        <v/>
      </c>
    </row>
    <row r="62" spans="39:42" ht="14.25" customHeight="1">
      <c r="AM62" s="12" t="str">
        <f t="shared" si="0"/>
        <v/>
      </c>
      <c r="AN62" s="12">
        <f t="shared" si="7"/>
        <v>0</v>
      </c>
      <c r="AO62" s="12" t="s">
        <v>161</v>
      </c>
      <c r="AP62" s="12" t="str">
        <f>IFERROR(VLOOKUP(AN62,OCT!$U$23:$W$38,3,FALSE),"")</f>
        <v/>
      </c>
    </row>
    <row r="63" spans="39:42" ht="14.25" customHeight="1">
      <c r="AM63" s="12" t="str">
        <f t="shared" si="0"/>
        <v/>
      </c>
      <c r="AN63" s="12">
        <f t="shared" si="7"/>
        <v>0</v>
      </c>
      <c r="AO63" s="12" t="s">
        <v>161</v>
      </c>
      <c r="AP63" s="12" t="str">
        <f>IFERROR(VLOOKUP(AN63,OCT!$U$23:$W$38,3,FALSE),"")</f>
        <v/>
      </c>
    </row>
    <row r="64" spans="39:42" ht="14.25" customHeight="1">
      <c r="AM64" s="12" t="str">
        <f t="shared" si="0"/>
        <v/>
      </c>
      <c r="AN64" s="12">
        <f t="shared" si="7"/>
        <v>0</v>
      </c>
      <c r="AO64" s="12" t="s">
        <v>161</v>
      </c>
      <c r="AP64" s="12" t="str">
        <f>IFERROR(VLOOKUP(AN64,OCT!$U$23:$W$38,3,FALSE),"")</f>
        <v/>
      </c>
    </row>
    <row r="65" spans="39:42" ht="14.25" customHeight="1">
      <c r="AM65" s="12" t="str">
        <f t="shared" si="0"/>
        <v/>
      </c>
      <c r="AN65" s="12">
        <f t="shared" si="7"/>
        <v>0</v>
      </c>
      <c r="AO65" s="12" t="s">
        <v>161</v>
      </c>
      <c r="AP65" s="12" t="str">
        <f>IFERROR(VLOOKUP(AN65,OCT!$U$23:$W$38,3,FALSE),"")</f>
        <v/>
      </c>
    </row>
    <row r="66" spans="39:42" ht="14.25" customHeight="1"/>
    <row r="67" spans="39:42" ht="14.25" customHeight="1"/>
    <row r="68" spans="39:42" ht="14.25" customHeight="1"/>
    <row r="69" spans="39:42" ht="14.25" customHeight="1"/>
    <row r="70" spans="39:42" ht="14.25" customHeight="1"/>
    <row r="71" spans="39:42" ht="14.25" customHeight="1"/>
    <row r="72" spans="39:42" ht="14.25" customHeight="1"/>
    <row r="73" spans="39:42" ht="14.25" customHeight="1"/>
    <row r="74" spans="39:42" ht="14.25" customHeight="1"/>
    <row r="75" spans="39:42" ht="14.25" customHeight="1"/>
    <row r="76" spans="39:42" ht="14.25" customHeight="1"/>
    <row r="77" spans="39:42" ht="14.25" customHeight="1"/>
    <row r="78" spans="39:42" ht="14.25" customHeight="1"/>
    <row r="79" spans="39:42" ht="14.25" customHeight="1"/>
    <row r="80" spans="39:4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N2:AP65" xr:uid="{00000000-0009-0000-0000-00000B000000}"/>
  <mergeCells count="18">
    <mergeCell ref="B2:D4"/>
    <mergeCell ref="F2:H3"/>
    <mergeCell ref="J2:L3"/>
    <mergeCell ref="R2:T3"/>
    <mergeCell ref="F4:H5"/>
    <mergeCell ref="J4:L5"/>
    <mergeCell ref="R4:T5"/>
    <mergeCell ref="B5:D5"/>
    <mergeCell ref="B7:D9"/>
    <mergeCell ref="B20:D21"/>
    <mergeCell ref="F20:I21"/>
    <mergeCell ref="K20:N21"/>
    <mergeCell ref="N2:P3"/>
    <mergeCell ref="N4:P5"/>
    <mergeCell ref="V2:X3"/>
    <mergeCell ref="V4:X5"/>
    <mergeCell ref="U20:X21"/>
    <mergeCell ref="P20:S21"/>
  </mergeCells>
  <pageMargins left="0.7" right="0.7" top="0.75" bottom="0.75" header="0" footer="0"/>
  <pageSetup orientation="landscape"/>
  <drawing r:id="rId1"/>
  <tableParts count="5">
    <tablePart r:id="rId2"/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B00-000000000000}">
          <x14:formula1>
            <xm:f>lists!$D$2:$D$21</xm:f>
          </x14:formula1>
          <xm:sqref>P23:P38</xm:sqref>
        </x14:dataValidation>
        <x14:dataValidation type="list" allowBlank="1" showErrorMessage="1" xr:uid="{00000000-0002-0000-0B00-000001000000}">
          <x14:formula1>
            <xm:f>lists!$A$2:$A$35</xm:f>
          </x14:formula1>
          <xm:sqref>B23:B38</xm:sqref>
        </x14:dataValidation>
        <x14:dataValidation type="list" allowBlank="1" showErrorMessage="1" xr:uid="{00000000-0002-0000-0B00-000002000000}">
          <x14:formula1>
            <xm:f>lists!$B$2:$B$24</xm:f>
          </x14:formula1>
          <xm:sqref>F23:F38</xm:sqref>
        </x14:dataValidation>
        <x14:dataValidation type="list" allowBlank="1" showErrorMessage="1" xr:uid="{00000000-0002-0000-0B00-000003000000}">
          <x14:formula1>
            <xm:f>lists!$E$2:$E$25</xm:f>
          </x14:formula1>
          <xm:sqref>U23:U38</xm:sqref>
        </x14:dataValidation>
        <x14:dataValidation type="list" allowBlank="1" showErrorMessage="1" xr:uid="{00000000-0002-0000-0B00-000004000000}">
          <x14:formula1>
            <xm:f>lists!$C$2:$C$32</xm:f>
          </x14:formula1>
          <xm:sqref>K23:K38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4B083"/>
  </sheetPr>
  <dimension ref="B1:AP1000"/>
  <sheetViews>
    <sheetView workbookViewId="0"/>
  </sheetViews>
  <sheetFormatPr defaultColWidth="14.3984375" defaultRowHeight="15" customHeight="1"/>
  <cols>
    <col min="1" max="1" width="3.3984375" customWidth="1"/>
    <col min="2" max="2" width="14.265625" customWidth="1"/>
    <col min="3" max="3" width="14.3984375" customWidth="1"/>
    <col min="4" max="4" width="15.3984375" customWidth="1"/>
    <col min="5" max="5" width="4.3984375" customWidth="1"/>
    <col min="6" max="6" width="12.1328125" customWidth="1"/>
    <col min="7" max="8" width="12.73046875" customWidth="1"/>
    <col min="9" max="9" width="11.73046875" customWidth="1"/>
    <col min="10" max="10" width="8.73046875" customWidth="1"/>
    <col min="11" max="11" width="10.1328125" customWidth="1"/>
    <col min="12" max="13" width="11.86328125" customWidth="1"/>
    <col min="14" max="14" width="11.73046875" customWidth="1"/>
    <col min="15" max="15" width="8.73046875" customWidth="1"/>
    <col min="16" max="16" width="13.86328125" customWidth="1"/>
    <col min="17" max="18" width="11.86328125" customWidth="1"/>
    <col min="19" max="19" width="11.73046875" customWidth="1"/>
    <col min="20" max="20" width="8.73046875" customWidth="1"/>
    <col min="21" max="21" width="16.265625" customWidth="1"/>
    <col min="22" max="22" width="13" customWidth="1"/>
    <col min="23" max="23" width="17.1328125" customWidth="1"/>
    <col min="24" max="24" width="13.86328125" customWidth="1"/>
    <col min="25" max="37" width="8.73046875" customWidth="1"/>
    <col min="38" max="39" width="8.73046875" hidden="1" customWidth="1"/>
    <col min="40" max="40" width="17.53125" hidden="1" customWidth="1"/>
    <col min="41" max="41" width="12.3984375" hidden="1" customWidth="1"/>
    <col min="42" max="42" width="14.86328125" hidden="1" customWidth="1"/>
  </cols>
  <sheetData>
    <row r="1" spans="2:42" ht="14.25" customHeight="1"/>
    <row r="2" spans="2:42" ht="19.5" customHeight="1">
      <c r="B2" s="50" t="s">
        <v>185</v>
      </c>
      <c r="C2" s="30"/>
      <c r="D2" s="25"/>
      <c r="F2" s="29" t="s">
        <v>157</v>
      </c>
      <c r="G2" s="30"/>
      <c r="H2" s="25"/>
      <c r="J2" s="29" t="s">
        <v>158</v>
      </c>
      <c r="K2" s="30"/>
      <c r="L2" s="25"/>
      <c r="N2" s="29" t="s">
        <v>159</v>
      </c>
      <c r="O2" s="30"/>
      <c r="P2" s="25"/>
      <c r="R2" s="49" t="s">
        <v>160</v>
      </c>
      <c r="S2" s="30"/>
      <c r="T2" s="25"/>
      <c r="V2" s="33" t="s">
        <v>161</v>
      </c>
      <c r="W2" s="30"/>
      <c r="X2" s="25"/>
      <c r="AM2" s="11" t="s">
        <v>162</v>
      </c>
      <c r="AN2" s="11" t="s">
        <v>163</v>
      </c>
      <c r="AO2" s="11" t="s">
        <v>164</v>
      </c>
      <c r="AP2" s="11" t="s">
        <v>165</v>
      </c>
    </row>
    <row r="3" spans="2:42" ht="19.5" customHeight="1">
      <c r="B3" s="51"/>
      <c r="C3" s="45"/>
      <c r="D3" s="52"/>
      <c r="F3" s="26"/>
      <c r="G3" s="31"/>
      <c r="H3" s="27"/>
      <c r="J3" s="26"/>
      <c r="K3" s="31"/>
      <c r="L3" s="27"/>
      <c r="N3" s="26"/>
      <c r="O3" s="31"/>
      <c r="P3" s="27"/>
      <c r="R3" s="26"/>
      <c r="S3" s="31"/>
      <c r="T3" s="27"/>
      <c r="V3" s="26"/>
      <c r="W3" s="31"/>
      <c r="X3" s="27"/>
      <c r="AM3" s="12" t="str">
        <f t="shared" ref="AM3:AM65" si="0">IFERROR(_xlfn.RANK.EQ(AP3, $AP$3:$AP$150)+ COUNTIFS($AP$3:AP3, AP3) - 1,"")</f>
        <v/>
      </c>
      <c r="AN3" s="12">
        <f t="shared" ref="AN3:AN18" si="1">F23</f>
        <v>0</v>
      </c>
      <c r="AO3" s="12" t="s">
        <v>158</v>
      </c>
      <c r="AP3" s="12" t="str">
        <f>IFERROR(VLOOKUP(AN3,NOV!$F$23:$H$38,3,FALSE),"")</f>
        <v/>
      </c>
    </row>
    <row r="4" spans="2:42" ht="19.5" customHeight="1">
      <c r="B4" s="35"/>
      <c r="C4" s="36"/>
      <c r="D4" s="37"/>
      <c r="F4" s="32">
        <f>SUM(NOV!$D$23:$D$38)</f>
        <v>0</v>
      </c>
      <c r="G4" s="30"/>
      <c r="H4" s="25"/>
      <c r="J4" s="32">
        <f>SUM(NOV!$H$23:$H$38)</f>
        <v>0</v>
      </c>
      <c r="K4" s="30"/>
      <c r="L4" s="25"/>
      <c r="N4" s="32">
        <f>SUM(NOV!$M$23:$M$38)</f>
        <v>0</v>
      </c>
      <c r="O4" s="30"/>
      <c r="P4" s="25"/>
      <c r="R4" s="32">
        <f>SUM(NOV!$R$23:$R$38)</f>
        <v>0</v>
      </c>
      <c r="S4" s="30"/>
      <c r="T4" s="25"/>
      <c r="V4" s="32">
        <f>SUM(NOV!$W$23:$W$38)</f>
        <v>0</v>
      </c>
      <c r="W4" s="30"/>
      <c r="X4" s="25"/>
      <c r="AM4" s="12" t="str">
        <f t="shared" si="0"/>
        <v/>
      </c>
      <c r="AN4" s="12">
        <f t="shared" si="1"/>
        <v>0</v>
      </c>
      <c r="AO4" s="12" t="s">
        <v>158</v>
      </c>
      <c r="AP4" s="12" t="str">
        <f>IFERROR(VLOOKUP(AN4,NOV!$F$23:$H$38,3,FALSE),"")</f>
        <v/>
      </c>
    </row>
    <row r="5" spans="2:42" ht="21.75" customHeight="1">
      <c r="B5" s="38" t="s">
        <v>166</v>
      </c>
      <c r="C5" s="39"/>
      <c r="D5" s="40"/>
      <c r="F5" s="26"/>
      <c r="G5" s="31"/>
      <c r="H5" s="27"/>
      <c r="J5" s="26"/>
      <c r="K5" s="31"/>
      <c r="L5" s="27"/>
      <c r="N5" s="26"/>
      <c r="O5" s="31"/>
      <c r="P5" s="27"/>
      <c r="R5" s="26"/>
      <c r="S5" s="31"/>
      <c r="T5" s="27"/>
      <c r="V5" s="26"/>
      <c r="W5" s="31"/>
      <c r="X5" s="27"/>
      <c r="AM5" s="12" t="str">
        <f t="shared" si="0"/>
        <v/>
      </c>
      <c r="AN5" s="12">
        <f t="shared" si="1"/>
        <v>0</v>
      </c>
      <c r="AO5" s="12" t="s">
        <v>158</v>
      </c>
      <c r="AP5" s="12" t="str">
        <f>IFERROR(VLOOKUP(AN5,NOV!$F$23:$H$38,3,FALSE),"")</f>
        <v/>
      </c>
    </row>
    <row r="6" spans="2:42" ht="14.25" customHeight="1">
      <c r="AM6" s="12" t="str">
        <f t="shared" si="0"/>
        <v/>
      </c>
      <c r="AN6" s="12">
        <f t="shared" si="1"/>
        <v>0</v>
      </c>
      <c r="AO6" s="12" t="s">
        <v>158</v>
      </c>
      <c r="AP6" s="12" t="str">
        <f>IFERROR(VLOOKUP(AN6,NOV!$F$23:$H$38,3,FALSE),"")</f>
        <v/>
      </c>
    </row>
    <row r="7" spans="2:42" ht="13.5" customHeight="1">
      <c r="B7" s="41" t="s">
        <v>167</v>
      </c>
      <c r="C7" s="42"/>
      <c r="D7" s="43"/>
      <c r="V7" s="13" t="s">
        <v>168</v>
      </c>
      <c r="W7" s="13" t="s">
        <v>163</v>
      </c>
      <c r="X7" s="13" t="s">
        <v>169</v>
      </c>
      <c r="AM7" s="12" t="str">
        <f t="shared" si="0"/>
        <v/>
      </c>
      <c r="AN7" s="12">
        <f t="shared" si="1"/>
        <v>0</v>
      </c>
      <c r="AO7" s="12" t="s">
        <v>158</v>
      </c>
      <c r="AP7" s="12" t="str">
        <f>IFERROR(VLOOKUP(AN7,NOV!$F$23:$H$38,3,FALSE),"")</f>
        <v/>
      </c>
    </row>
    <row r="8" spans="2:42" ht="13.5" customHeight="1">
      <c r="B8" s="44"/>
      <c r="C8" s="45"/>
      <c r="D8" s="46"/>
      <c r="V8" s="12">
        <v>1</v>
      </c>
      <c r="W8" s="12" t="str">
        <f t="shared" ref="W8:W18" si="2">IFERROR(VLOOKUP(V8,$AM$3:$AP$65,2,FALSE),"")</f>
        <v/>
      </c>
      <c r="X8" s="12" t="str">
        <f t="shared" ref="X8:X18" si="3">IFERROR(VLOOKUP(V8,$AM$3:$AP$65,4,FALSE),"")</f>
        <v/>
      </c>
      <c r="AM8" s="12" t="str">
        <f t="shared" si="0"/>
        <v/>
      </c>
      <c r="AN8" s="12">
        <f t="shared" si="1"/>
        <v>0</v>
      </c>
      <c r="AO8" s="12" t="s">
        <v>158</v>
      </c>
      <c r="AP8" s="12" t="str">
        <f>IFERROR(VLOOKUP(AN8,NOV!$F$23:$H$38,3,FALSE),"")</f>
        <v/>
      </c>
    </row>
    <row r="9" spans="2:42" ht="13.5" customHeight="1">
      <c r="B9" s="47"/>
      <c r="C9" s="31"/>
      <c r="D9" s="48"/>
      <c r="V9" s="12">
        <v>2</v>
      </c>
      <c r="W9" s="12" t="str">
        <f t="shared" si="2"/>
        <v/>
      </c>
      <c r="X9" s="12" t="str">
        <f t="shared" si="3"/>
        <v/>
      </c>
      <c r="AM9" s="12" t="str">
        <f t="shared" si="0"/>
        <v/>
      </c>
      <c r="AN9" s="12">
        <f t="shared" si="1"/>
        <v>0</v>
      </c>
      <c r="AO9" s="12" t="s">
        <v>158</v>
      </c>
      <c r="AP9" s="12" t="str">
        <f>IFERROR(VLOOKUP(AN9,NOV!$F$23:$H$38,3,FALSE),"")</f>
        <v/>
      </c>
    </row>
    <row r="10" spans="2:42" ht="13.5" customHeight="1">
      <c r="B10" s="14"/>
      <c r="C10" s="14" t="s">
        <v>170</v>
      </c>
      <c r="D10" s="14" t="s">
        <v>171</v>
      </c>
      <c r="V10" s="12">
        <v>3</v>
      </c>
      <c r="W10" s="12" t="str">
        <f t="shared" si="2"/>
        <v/>
      </c>
      <c r="X10" s="12" t="str">
        <f t="shared" si="3"/>
        <v/>
      </c>
      <c r="AM10" s="12" t="str">
        <f t="shared" si="0"/>
        <v/>
      </c>
      <c r="AN10" s="12">
        <f t="shared" si="1"/>
        <v>0</v>
      </c>
      <c r="AO10" s="12" t="s">
        <v>158</v>
      </c>
      <c r="AP10" s="12" t="str">
        <f>IFERROR(VLOOKUP(AN10,NOV!$F$23:$H$38,3,FALSE),"")</f>
        <v/>
      </c>
    </row>
    <row r="11" spans="2:42" ht="13.5" customHeight="1">
      <c r="B11" s="15" t="s">
        <v>157</v>
      </c>
      <c r="C11" s="16">
        <f>SUM(NOV!$C$23:$C$38)</f>
        <v>0</v>
      </c>
      <c r="D11" s="17">
        <f>SUM(NOV!$D$23:$D$38)</f>
        <v>0</v>
      </c>
      <c r="V11" s="12">
        <v>4</v>
      </c>
      <c r="W11" s="12" t="str">
        <f t="shared" si="2"/>
        <v/>
      </c>
      <c r="X11" s="12" t="str">
        <f t="shared" si="3"/>
        <v/>
      </c>
      <c r="AM11" s="12" t="str">
        <f t="shared" si="0"/>
        <v/>
      </c>
      <c r="AN11" s="12">
        <f t="shared" si="1"/>
        <v>0</v>
      </c>
      <c r="AO11" s="12" t="s">
        <v>158</v>
      </c>
      <c r="AP11" s="12" t="str">
        <f>IFERROR(VLOOKUP(AN11,NOV!$F$23:$H$38,3,FALSE),"")</f>
        <v/>
      </c>
    </row>
    <row r="12" spans="2:42" ht="13.5" customHeight="1">
      <c r="B12" s="15" t="s">
        <v>158</v>
      </c>
      <c r="C12" s="16">
        <f>SUM(NOV!$G$23:$G$38)</f>
        <v>0</v>
      </c>
      <c r="D12" s="17">
        <f>SUM(NOV!$H$23:$H$38)</f>
        <v>0</v>
      </c>
      <c r="V12" s="12">
        <v>5</v>
      </c>
      <c r="W12" s="12" t="str">
        <f t="shared" si="2"/>
        <v/>
      </c>
      <c r="X12" s="12" t="str">
        <f t="shared" si="3"/>
        <v/>
      </c>
      <c r="AM12" s="12" t="str">
        <f t="shared" si="0"/>
        <v/>
      </c>
      <c r="AN12" s="12">
        <f t="shared" si="1"/>
        <v>0</v>
      </c>
      <c r="AO12" s="12" t="s">
        <v>158</v>
      </c>
      <c r="AP12" s="12" t="str">
        <f>IFERROR(VLOOKUP(AN12,NOV!$F$23:$H$38,3,FALSE),"")</f>
        <v/>
      </c>
    </row>
    <row r="13" spans="2:42" ht="13.5" customHeight="1">
      <c r="B13" s="15" t="s">
        <v>159</v>
      </c>
      <c r="C13" s="16">
        <f>SUM(NOV!$L$23:$L$38)</f>
        <v>0</v>
      </c>
      <c r="D13" s="17">
        <f>SUM(NOV!$M$23:$M$38)</f>
        <v>0</v>
      </c>
      <c r="V13" s="12">
        <v>6</v>
      </c>
      <c r="W13" s="12" t="str">
        <f t="shared" si="2"/>
        <v/>
      </c>
      <c r="X13" s="12" t="str">
        <f t="shared" si="3"/>
        <v/>
      </c>
      <c r="AM13" s="12" t="str">
        <f t="shared" si="0"/>
        <v/>
      </c>
      <c r="AN13" s="12">
        <f t="shared" si="1"/>
        <v>0</v>
      </c>
      <c r="AO13" s="12" t="s">
        <v>158</v>
      </c>
      <c r="AP13" s="12" t="str">
        <f>IFERROR(VLOOKUP(AN13,NOV!$F$23:$H$38,3,FALSE),"")</f>
        <v/>
      </c>
    </row>
    <row r="14" spans="2:42" ht="13.5" customHeight="1">
      <c r="B14" s="15" t="s">
        <v>160</v>
      </c>
      <c r="C14" s="16">
        <f>SUM(NOV!$Q$23:$Q$38)</f>
        <v>0</v>
      </c>
      <c r="D14" s="17">
        <f>SUM(NOV!$R$23:$R$38)</f>
        <v>0</v>
      </c>
      <c r="V14" s="12">
        <v>7</v>
      </c>
      <c r="W14" s="12" t="str">
        <f t="shared" si="2"/>
        <v/>
      </c>
      <c r="X14" s="12" t="str">
        <f t="shared" si="3"/>
        <v/>
      </c>
      <c r="AM14" s="12" t="str">
        <f t="shared" si="0"/>
        <v/>
      </c>
      <c r="AN14" s="12">
        <f t="shared" si="1"/>
        <v>0</v>
      </c>
      <c r="AO14" s="12" t="s">
        <v>158</v>
      </c>
      <c r="AP14" s="12" t="str">
        <f>IFERROR(VLOOKUP(AN14,NOV!$F$23:$H$38,3,FALSE),"")</f>
        <v/>
      </c>
    </row>
    <row r="15" spans="2:42" ht="13.5" customHeight="1">
      <c r="B15" s="18" t="s">
        <v>161</v>
      </c>
      <c r="C15" s="19">
        <f>SUM(NOV!$V$23:$V$38)</f>
        <v>0</v>
      </c>
      <c r="D15" s="20">
        <f>SUM(NOV!$W$23:$W$38)</f>
        <v>0</v>
      </c>
      <c r="V15" s="12">
        <v>8</v>
      </c>
      <c r="W15" s="12" t="str">
        <f t="shared" si="2"/>
        <v/>
      </c>
      <c r="X15" s="12" t="str">
        <f t="shared" si="3"/>
        <v/>
      </c>
      <c r="AM15" s="12" t="str">
        <f t="shared" si="0"/>
        <v/>
      </c>
      <c r="AN15" s="12">
        <f t="shared" si="1"/>
        <v>0</v>
      </c>
      <c r="AO15" s="12" t="s">
        <v>158</v>
      </c>
      <c r="AP15" s="12" t="str">
        <f>IFERROR(VLOOKUP(AN15,NOV!$F$23:$H$38,3,FALSE),"")</f>
        <v/>
      </c>
    </row>
    <row r="16" spans="2:42" ht="13.5" customHeight="1">
      <c r="B16" s="21" t="s">
        <v>172</v>
      </c>
      <c r="C16" s="22">
        <f t="shared" ref="C16:D16" si="4">(C11-SUM(C12:C15))</f>
        <v>0</v>
      </c>
      <c r="D16" s="22">
        <f t="shared" si="4"/>
        <v>0</v>
      </c>
      <c r="V16" s="12">
        <v>9</v>
      </c>
      <c r="W16" s="12" t="str">
        <f t="shared" si="2"/>
        <v/>
      </c>
      <c r="X16" s="12" t="str">
        <f t="shared" si="3"/>
        <v/>
      </c>
      <c r="AM16" s="12" t="str">
        <f t="shared" si="0"/>
        <v/>
      </c>
      <c r="AN16" s="12">
        <f t="shared" si="1"/>
        <v>0</v>
      </c>
      <c r="AO16" s="12" t="s">
        <v>158</v>
      </c>
      <c r="AP16" s="12" t="str">
        <f>IFERROR(VLOOKUP(AN16,NOV!$F$23:$H$38,3,FALSE),"")</f>
        <v/>
      </c>
    </row>
    <row r="17" spans="2:42" ht="13.5" customHeight="1">
      <c r="C17" s="16"/>
      <c r="D17" s="16"/>
      <c r="V17" s="12">
        <v>10</v>
      </c>
      <c r="W17" s="12" t="str">
        <f t="shared" si="2"/>
        <v/>
      </c>
      <c r="X17" s="12" t="str">
        <f t="shared" si="3"/>
        <v/>
      </c>
      <c r="AM17" s="12" t="str">
        <f t="shared" si="0"/>
        <v/>
      </c>
      <c r="AN17" s="12">
        <f t="shared" si="1"/>
        <v>0</v>
      </c>
      <c r="AO17" s="12" t="s">
        <v>158</v>
      </c>
      <c r="AP17" s="12" t="str">
        <f>IFERROR(VLOOKUP(AN17,NOV!$F$23:$H$38,3,FALSE),"")</f>
        <v/>
      </c>
    </row>
    <row r="18" spans="2:42" ht="13.5" customHeight="1">
      <c r="V18" s="12">
        <v>11</v>
      </c>
      <c r="W18" s="12" t="str">
        <f t="shared" si="2"/>
        <v/>
      </c>
      <c r="X18" s="12" t="str">
        <f t="shared" si="3"/>
        <v/>
      </c>
      <c r="AM18" s="12" t="str">
        <f t="shared" si="0"/>
        <v/>
      </c>
      <c r="AN18" s="12">
        <f t="shared" si="1"/>
        <v>0</v>
      </c>
      <c r="AO18" s="12" t="s">
        <v>158</v>
      </c>
      <c r="AP18" s="12" t="str">
        <f>IFERROR(VLOOKUP(AN18,NOV!$F$23:$H$38,3,FALSE),"")</f>
        <v/>
      </c>
    </row>
    <row r="19" spans="2:42" ht="14.25" customHeight="1">
      <c r="AM19" s="12" t="str">
        <f t="shared" si="0"/>
        <v/>
      </c>
      <c r="AN19" s="12">
        <f t="shared" ref="AN19:AN34" si="5">K23</f>
        <v>0</v>
      </c>
      <c r="AO19" s="12" t="s">
        <v>159</v>
      </c>
      <c r="AP19" s="12" t="str">
        <f>IFERROR(VLOOKUP(AN19,NOV!$K$23:$M$38,3,FALSE),"")</f>
        <v/>
      </c>
    </row>
    <row r="20" spans="2:42" ht="14.25" customHeight="1">
      <c r="B20" s="29" t="s">
        <v>157</v>
      </c>
      <c r="C20" s="30"/>
      <c r="D20" s="25"/>
      <c r="F20" s="29" t="s">
        <v>158</v>
      </c>
      <c r="G20" s="30"/>
      <c r="H20" s="30"/>
      <c r="I20" s="25"/>
      <c r="K20" s="29" t="s">
        <v>159</v>
      </c>
      <c r="L20" s="30"/>
      <c r="M20" s="30"/>
      <c r="N20" s="25"/>
      <c r="P20" s="49" t="s">
        <v>160</v>
      </c>
      <c r="Q20" s="30"/>
      <c r="R20" s="30"/>
      <c r="S20" s="25"/>
      <c r="U20" s="34" t="s">
        <v>161</v>
      </c>
      <c r="V20" s="30"/>
      <c r="W20" s="30"/>
      <c r="X20" s="25"/>
      <c r="AM20" s="12" t="str">
        <f t="shared" si="0"/>
        <v/>
      </c>
      <c r="AN20" s="12">
        <f t="shared" si="5"/>
        <v>0</v>
      </c>
      <c r="AO20" s="12" t="s">
        <v>159</v>
      </c>
      <c r="AP20" s="12" t="str">
        <f>IFERROR(VLOOKUP(AN20,NOV!$K$23:$M$38,3,FALSE),"")</f>
        <v/>
      </c>
    </row>
    <row r="21" spans="2:42" ht="14.25" customHeight="1">
      <c r="B21" s="35"/>
      <c r="C21" s="36"/>
      <c r="D21" s="37"/>
      <c r="F21" s="35"/>
      <c r="G21" s="36"/>
      <c r="H21" s="36"/>
      <c r="I21" s="37"/>
      <c r="K21" s="35"/>
      <c r="L21" s="36"/>
      <c r="M21" s="36"/>
      <c r="N21" s="37"/>
      <c r="P21" s="35"/>
      <c r="Q21" s="36"/>
      <c r="R21" s="36"/>
      <c r="S21" s="37"/>
      <c r="U21" s="35"/>
      <c r="V21" s="36"/>
      <c r="W21" s="36"/>
      <c r="X21" s="37"/>
      <c r="AM21" s="12" t="str">
        <f t="shared" si="0"/>
        <v/>
      </c>
      <c r="AN21" s="12">
        <f t="shared" si="5"/>
        <v>0</v>
      </c>
      <c r="AO21" s="12" t="s">
        <v>159</v>
      </c>
      <c r="AP21" s="12" t="str">
        <f>IFERROR(VLOOKUP(AN21,NOV!$K$23:$M$38,3,FALSE),"")</f>
        <v/>
      </c>
    </row>
    <row r="22" spans="2:42" ht="14.25" customHeight="1">
      <c r="B22" s="15" t="s">
        <v>173</v>
      </c>
      <c r="C22" s="10" t="s">
        <v>170</v>
      </c>
      <c r="D22" s="23" t="s">
        <v>171</v>
      </c>
      <c r="F22" s="15" t="s">
        <v>173</v>
      </c>
      <c r="G22" s="10" t="s">
        <v>170</v>
      </c>
      <c r="H22" s="10" t="s">
        <v>171</v>
      </c>
      <c r="I22" s="23" t="s">
        <v>174</v>
      </c>
      <c r="K22" s="15" t="s">
        <v>173</v>
      </c>
      <c r="L22" s="10" t="s">
        <v>170</v>
      </c>
      <c r="M22" s="10" t="s">
        <v>171</v>
      </c>
      <c r="N22" s="23" t="s">
        <v>174</v>
      </c>
      <c r="P22" s="15" t="s">
        <v>173</v>
      </c>
      <c r="Q22" s="10" t="s">
        <v>170</v>
      </c>
      <c r="R22" s="10" t="s">
        <v>171</v>
      </c>
      <c r="S22" s="23" t="s">
        <v>174</v>
      </c>
      <c r="U22" s="15" t="s">
        <v>173</v>
      </c>
      <c r="V22" s="10" t="s">
        <v>170</v>
      </c>
      <c r="W22" s="10" t="s">
        <v>171</v>
      </c>
      <c r="X22" s="23" t="s">
        <v>174</v>
      </c>
      <c r="AM22" s="12" t="str">
        <f t="shared" si="0"/>
        <v/>
      </c>
      <c r="AN22" s="12">
        <f t="shared" si="5"/>
        <v>0</v>
      </c>
      <c r="AO22" s="12" t="s">
        <v>159</v>
      </c>
      <c r="AP22" s="12" t="str">
        <f>IFERROR(VLOOKUP(AN22,NOV!$K$23:$M$38,3,FALSE),"")</f>
        <v/>
      </c>
    </row>
    <row r="23" spans="2:42" ht="14.25" customHeight="1">
      <c r="B23" s="15"/>
      <c r="C23" s="16"/>
      <c r="D23" s="17"/>
      <c r="F23" s="15"/>
      <c r="G23" s="16"/>
      <c r="H23" s="16"/>
      <c r="I23" s="17">
        <f>NOV!$G23-NOV!$H23</f>
        <v>0</v>
      </c>
      <c r="K23" s="15"/>
      <c r="L23" s="16"/>
      <c r="M23" s="16"/>
      <c r="N23" s="17">
        <f>NOV!$L23-NOV!$M23</f>
        <v>0</v>
      </c>
      <c r="P23" s="15"/>
      <c r="Q23" s="16"/>
      <c r="R23" s="16"/>
      <c r="S23" s="17">
        <f>NOV!$Q23-NOV!$R23</f>
        <v>0</v>
      </c>
      <c r="U23" s="15"/>
      <c r="V23" s="16"/>
      <c r="W23" s="16"/>
      <c r="X23" s="17">
        <f>NOV!$V23-NOV!$W23</f>
        <v>0</v>
      </c>
      <c r="AM23" s="12" t="str">
        <f t="shared" si="0"/>
        <v/>
      </c>
      <c r="AN23" s="12">
        <f t="shared" si="5"/>
        <v>0</v>
      </c>
      <c r="AO23" s="12" t="s">
        <v>159</v>
      </c>
      <c r="AP23" s="12" t="str">
        <f>IFERROR(VLOOKUP(AN23,NOV!$K$23:$M$38,3,FALSE),"")</f>
        <v/>
      </c>
    </row>
    <row r="24" spans="2:42" ht="14.25" customHeight="1">
      <c r="B24" s="15"/>
      <c r="C24" s="16"/>
      <c r="D24" s="17"/>
      <c r="F24" s="15"/>
      <c r="G24" s="16"/>
      <c r="H24" s="16"/>
      <c r="I24" s="17">
        <f>NOV!$G24-NOV!$H24</f>
        <v>0</v>
      </c>
      <c r="K24" s="15"/>
      <c r="L24" s="16"/>
      <c r="M24" s="16"/>
      <c r="N24" s="17">
        <f>NOV!$L24-NOV!$M24</f>
        <v>0</v>
      </c>
      <c r="P24" s="15"/>
      <c r="Q24" s="16"/>
      <c r="R24" s="16"/>
      <c r="S24" s="17">
        <f>NOV!$Q24-NOV!$R24</f>
        <v>0</v>
      </c>
      <c r="U24" s="15"/>
      <c r="V24" s="16"/>
      <c r="W24" s="16"/>
      <c r="X24" s="17">
        <f>NOV!$V24-NOV!$W24</f>
        <v>0</v>
      </c>
      <c r="AM24" s="12" t="str">
        <f t="shared" si="0"/>
        <v/>
      </c>
      <c r="AN24" s="12">
        <f t="shared" si="5"/>
        <v>0</v>
      </c>
      <c r="AO24" s="12" t="s">
        <v>159</v>
      </c>
      <c r="AP24" s="12" t="str">
        <f>IFERROR(VLOOKUP(AN24,NOV!$K$23:$M$38,3,FALSE),"")</f>
        <v/>
      </c>
    </row>
    <row r="25" spans="2:42" ht="14.25" customHeight="1">
      <c r="B25" s="15"/>
      <c r="C25" s="16"/>
      <c r="D25" s="17"/>
      <c r="F25" s="15"/>
      <c r="G25" s="16"/>
      <c r="H25" s="16"/>
      <c r="I25" s="17">
        <f>NOV!$G25-NOV!$H25</f>
        <v>0</v>
      </c>
      <c r="K25" s="15"/>
      <c r="L25" s="16"/>
      <c r="M25" s="16"/>
      <c r="N25" s="17">
        <f>NOV!$L25-NOV!$M25</f>
        <v>0</v>
      </c>
      <c r="P25" s="15"/>
      <c r="Q25" s="16"/>
      <c r="R25" s="16"/>
      <c r="S25" s="17">
        <f>NOV!$Q25-NOV!$R25</f>
        <v>0</v>
      </c>
      <c r="U25" s="15"/>
      <c r="V25" s="16"/>
      <c r="W25" s="16"/>
      <c r="X25" s="17">
        <f>NOV!$V25-NOV!$W25</f>
        <v>0</v>
      </c>
      <c r="AM25" s="12" t="str">
        <f t="shared" si="0"/>
        <v/>
      </c>
      <c r="AN25" s="12">
        <f t="shared" si="5"/>
        <v>0</v>
      </c>
      <c r="AO25" s="12" t="s">
        <v>159</v>
      </c>
      <c r="AP25" s="12" t="str">
        <f>IFERROR(VLOOKUP(AN25,NOV!$K$23:$M$38,3,FALSE),"")</f>
        <v/>
      </c>
    </row>
    <row r="26" spans="2:42" ht="14.25" customHeight="1">
      <c r="B26" s="15"/>
      <c r="C26" s="16"/>
      <c r="D26" s="17"/>
      <c r="F26" s="15"/>
      <c r="G26" s="16"/>
      <c r="H26" s="16"/>
      <c r="I26" s="17">
        <f>NOV!$G26-NOV!$H26</f>
        <v>0</v>
      </c>
      <c r="K26" s="15"/>
      <c r="L26" s="16"/>
      <c r="M26" s="16"/>
      <c r="N26" s="17">
        <f>NOV!$L26-NOV!$M26</f>
        <v>0</v>
      </c>
      <c r="P26" s="15"/>
      <c r="Q26" s="16"/>
      <c r="R26" s="16"/>
      <c r="S26" s="17">
        <f>NOV!$Q26-NOV!$R26</f>
        <v>0</v>
      </c>
      <c r="U26" s="15"/>
      <c r="V26" s="16"/>
      <c r="W26" s="16"/>
      <c r="X26" s="17">
        <f>NOV!$V26-NOV!$W26</f>
        <v>0</v>
      </c>
      <c r="AM26" s="12" t="str">
        <f t="shared" si="0"/>
        <v/>
      </c>
      <c r="AN26" s="12">
        <f t="shared" si="5"/>
        <v>0</v>
      </c>
      <c r="AO26" s="12" t="s">
        <v>159</v>
      </c>
      <c r="AP26" s="12" t="str">
        <f>IFERROR(VLOOKUP(AN26,NOV!$K$23:$M$38,3,FALSE),"")</f>
        <v/>
      </c>
    </row>
    <row r="27" spans="2:42" ht="14.25" customHeight="1">
      <c r="B27" s="15"/>
      <c r="C27" s="16"/>
      <c r="D27" s="17"/>
      <c r="F27" s="15"/>
      <c r="G27" s="16"/>
      <c r="H27" s="16"/>
      <c r="I27" s="17">
        <f>NOV!$G27-NOV!$H27</f>
        <v>0</v>
      </c>
      <c r="K27" s="15"/>
      <c r="L27" s="16"/>
      <c r="M27" s="16"/>
      <c r="N27" s="17">
        <f>NOV!$L27-NOV!$M27</f>
        <v>0</v>
      </c>
      <c r="P27" s="15"/>
      <c r="Q27" s="16"/>
      <c r="R27" s="16"/>
      <c r="S27" s="17">
        <f>NOV!$Q27-NOV!$R27</f>
        <v>0</v>
      </c>
      <c r="U27" s="15"/>
      <c r="V27" s="16"/>
      <c r="W27" s="16"/>
      <c r="X27" s="17">
        <f>NOV!$V27-NOV!$W27</f>
        <v>0</v>
      </c>
      <c r="AM27" s="12" t="str">
        <f t="shared" si="0"/>
        <v/>
      </c>
      <c r="AN27" s="12">
        <f t="shared" si="5"/>
        <v>0</v>
      </c>
      <c r="AO27" s="12" t="s">
        <v>159</v>
      </c>
      <c r="AP27" s="12" t="str">
        <f>IFERROR(VLOOKUP(AN27,NOV!$K$23:$M$38,3,FALSE),"")</f>
        <v/>
      </c>
    </row>
    <row r="28" spans="2:42" ht="14.25" customHeight="1">
      <c r="B28" s="15"/>
      <c r="C28" s="16"/>
      <c r="D28" s="17"/>
      <c r="F28" s="15"/>
      <c r="G28" s="16"/>
      <c r="H28" s="16"/>
      <c r="I28" s="17">
        <f>NOV!$G28-NOV!$H28</f>
        <v>0</v>
      </c>
      <c r="K28" s="15"/>
      <c r="L28" s="16"/>
      <c r="M28" s="16"/>
      <c r="N28" s="17">
        <f>NOV!$L28-NOV!$M28</f>
        <v>0</v>
      </c>
      <c r="P28" s="15"/>
      <c r="Q28" s="16"/>
      <c r="R28" s="16"/>
      <c r="S28" s="17">
        <f>NOV!$Q28-NOV!$R28</f>
        <v>0</v>
      </c>
      <c r="U28" s="15"/>
      <c r="V28" s="16"/>
      <c r="W28" s="16"/>
      <c r="X28" s="17">
        <f>NOV!$V28-NOV!$W28</f>
        <v>0</v>
      </c>
      <c r="AM28" s="12" t="str">
        <f t="shared" si="0"/>
        <v/>
      </c>
      <c r="AN28" s="12">
        <f t="shared" si="5"/>
        <v>0</v>
      </c>
      <c r="AO28" s="12" t="s">
        <v>159</v>
      </c>
      <c r="AP28" s="12" t="str">
        <f>IFERROR(VLOOKUP(AN28,NOV!$K$23:$M$38,3,FALSE),"")</f>
        <v/>
      </c>
    </row>
    <row r="29" spans="2:42" ht="14.25" customHeight="1">
      <c r="B29" s="15"/>
      <c r="C29" s="16"/>
      <c r="D29" s="17"/>
      <c r="F29" s="15"/>
      <c r="G29" s="16"/>
      <c r="H29" s="16"/>
      <c r="I29" s="17">
        <f>NOV!$G29-NOV!$H29</f>
        <v>0</v>
      </c>
      <c r="K29" s="15"/>
      <c r="L29" s="16"/>
      <c r="M29" s="16"/>
      <c r="N29" s="17">
        <f>NOV!$L29-NOV!$M29</f>
        <v>0</v>
      </c>
      <c r="P29" s="15"/>
      <c r="Q29" s="16"/>
      <c r="R29" s="16"/>
      <c r="S29" s="17">
        <f>NOV!$Q29-NOV!$R29</f>
        <v>0</v>
      </c>
      <c r="U29" s="15"/>
      <c r="V29" s="16"/>
      <c r="W29" s="16"/>
      <c r="X29" s="17">
        <f>NOV!$V29-NOV!$W29</f>
        <v>0</v>
      </c>
      <c r="AM29" s="12" t="str">
        <f t="shared" si="0"/>
        <v/>
      </c>
      <c r="AN29" s="12">
        <f t="shared" si="5"/>
        <v>0</v>
      </c>
      <c r="AO29" s="12" t="s">
        <v>159</v>
      </c>
      <c r="AP29" s="12" t="str">
        <f>IFERROR(VLOOKUP(AN29,NOV!$K$23:$M$38,3,FALSE),"")</f>
        <v/>
      </c>
    </row>
    <row r="30" spans="2:42" ht="14.25" customHeight="1">
      <c r="B30" s="15"/>
      <c r="C30" s="16"/>
      <c r="D30" s="17"/>
      <c r="F30" s="15"/>
      <c r="G30" s="16"/>
      <c r="H30" s="16"/>
      <c r="I30" s="17">
        <f>NOV!$G30-NOV!$H30</f>
        <v>0</v>
      </c>
      <c r="K30" s="15"/>
      <c r="L30" s="16"/>
      <c r="M30" s="16"/>
      <c r="N30" s="17">
        <f>NOV!$L30-NOV!$M30</f>
        <v>0</v>
      </c>
      <c r="P30" s="15"/>
      <c r="Q30" s="16"/>
      <c r="R30" s="16"/>
      <c r="S30" s="17">
        <f>NOV!$Q30-NOV!$R30</f>
        <v>0</v>
      </c>
      <c r="U30" s="15"/>
      <c r="V30" s="16"/>
      <c r="W30" s="16"/>
      <c r="X30" s="17">
        <f>NOV!$V30-NOV!$W30</f>
        <v>0</v>
      </c>
      <c r="AM30" s="12" t="str">
        <f t="shared" si="0"/>
        <v/>
      </c>
      <c r="AN30" s="12">
        <f t="shared" si="5"/>
        <v>0</v>
      </c>
      <c r="AO30" s="12" t="s">
        <v>159</v>
      </c>
      <c r="AP30" s="12" t="str">
        <f>IFERROR(VLOOKUP(AN30,NOV!$K$23:$M$38,3,FALSE),"")</f>
        <v/>
      </c>
    </row>
    <row r="31" spans="2:42" ht="14.25" customHeight="1">
      <c r="B31" s="15"/>
      <c r="C31" s="16"/>
      <c r="D31" s="17"/>
      <c r="F31" s="15"/>
      <c r="G31" s="16"/>
      <c r="H31" s="16"/>
      <c r="I31" s="17">
        <f>NOV!$G31-NOV!$H31</f>
        <v>0</v>
      </c>
      <c r="K31" s="15"/>
      <c r="L31" s="16"/>
      <c r="M31" s="16"/>
      <c r="N31" s="17">
        <f>NOV!$L31-NOV!$M31</f>
        <v>0</v>
      </c>
      <c r="P31" s="15"/>
      <c r="Q31" s="16"/>
      <c r="R31" s="16"/>
      <c r="S31" s="17">
        <f>NOV!$Q31-NOV!$R31</f>
        <v>0</v>
      </c>
      <c r="U31" s="15"/>
      <c r="V31" s="16"/>
      <c r="W31" s="16"/>
      <c r="X31" s="17">
        <f>NOV!$V31-NOV!$W31</f>
        <v>0</v>
      </c>
      <c r="AM31" s="12" t="str">
        <f t="shared" si="0"/>
        <v/>
      </c>
      <c r="AN31" s="12">
        <f t="shared" si="5"/>
        <v>0</v>
      </c>
      <c r="AO31" s="12" t="s">
        <v>159</v>
      </c>
      <c r="AP31" s="12" t="str">
        <f>IFERROR(VLOOKUP(AN31,NOV!$K$23:$M$38,3,FALSE),"")</f>
        <v/>
      </c>
    </row>
    <row r="32" spans="2:42" ht="14.25" customHeight="1">
      <c r="B32" s="15"/>
      <c r="C32" s="16"/>
      <c r="D32" s="17"/>
      <c r="F32" s="15"/>
      <c r="G32" s="16"/>
      <c r="H32" s="16"/>
      <c r="I32" s="17">
        <f>NOV!$G32-NOV!$H32</f>
        <v>0</v>
      </c>
      <c r="K32" s="15"/>
      <c r="L32" s="16"/>
      <c r="M32" s="16"/>
      <c r="N32" s="17">
        <f>NOV!$L32-NOV!$M32</f>
        <v>0</v>
      </c>
      <c r="P32" s="15"/>
      <c r="Q32" s="16"/>
      <c r="R32" s="16"/>
      <c r="S32" s="17">
        <f>NOV!$Q32-NOV!$R32</f>
        <v>0</v>
      </c>
      <c r="U32" s="15"/>
      <c r="V32" s="16"/>
      <c r="W32" s="16"/>
      <c r="X32" s="17">
        <f>NOV!$V32-NOV!$W32</f>
        <v>0</v>
      </c>
      <c r="AM32" s="12" t="str">
        <f t="shared" si="0"/>
        <v/>
      </c>
      <c r="AN32" s="12">
        <f t="shared" si="5"/>
        <v>0</v>
      </c>
      <c r="AO32" s="12" t="s">
        <v>159</v>
      </c>
      <c r="AP32" s="12" t="str">
        <f>IFERROR(VLOOKUP(AN32,NOV!$K$23:$M$38,3,FALSE),"")</f>
        <v/>
      </c>
    </row>
    <row r="33" spans="2:42" ht="14.25" customHeight="1">
      <c r="B33" s="15"/>
      <c r="C33" s="16"/>
      <c r="D33" s="17"/>
      <c r="F33" s="15"/>
      <c r="G33" s="16"/>
      <c r="H33" s="16"/>
      <c r="I33" s="17">
        <f>NOV!$G33-NOV!$H33</f>
        <v>0</v>
      </c>
      <c r="K33" s="15"/>
      <c r="L33" s="16"/>
      <c r="M33" s="16"/>
      <c r="N33" s="17">
        <f>NOV!$L33-NOV!$M33</f>
        <v>0</v>
      </c>
      <c r="P33" s="15"/>
      <c r="Q33" s="16"/>
      <c r="R33" s="16"/>
      <c r="S33" s="17">
        <f>NOV!$Q33-NOV!$R33</f>
        <v>0</v>
      </c>
      <c r="U33" s="15"/>
      <c r="V33" s="16"/>
      <c r="W33" s="16"/>
      <c r="X33" s="17">
        <f>NOV!$V33-NOV!$W33</f>
        <v>0</v>
      </c>
      <c r="AM33" s="12" t="str">
        <f t="shared" si="0"/>
        <v/>
      </c>
      <c r="AN33" s="12">
        <f t="shared" si="5"/>
        <v>0</v>
      </c>
      <c r="AO33" s="12" t="s">
        <v>159</v>
      </c>
      <c r="AP33" s="12" t="str">
        <f>IFERROR(VLOOKUP(AN33,NOV!$K$23:$M$38,3,FALSE),"")</f>
        <v/>
      </c>
    </row>
    <row r="34" spans="2:42" ht="14.25" customHeight="1">
      <c r="B34" s="15"/>
      <c r="C34" s="16"/>
      <c r="D34" s="17"/>
      <c r="F34" s="15"/>
      <c r="G34" s="16"/>
      <c r="H34" s="16"/>
      <c r="I34" s="17">
        <f>NOV!$G34-NOV!$H34</f>
        <v>0</v>
      </c>
      <c r="K34" s="15"/>
      <c r="L34" s="16"/>
      <c r="M34" s="16"/>
      <c r="N34" s="17">
        <f>NOV!$L34-NOV!$M34</f>
        <v>0</v>
      </c>
      <c r="P34" s="15"/>
      <c r="Q34" s="16"/>
      <c r="R34" s="16"/>
      <c r="S34" s="17">
        <f>NOV!$Q34-NOV!$R34</f>
        <v>0</v>
      </c>
      <c r="U34" s="15"/>
      <c r="V34" s="16"/>
      <c r="W34" s="16"/>
      <c r="X34" s="17">
        <f>NOV!$V34-NOV!$W34</f>
        <v>0</v>
      </c>
      <c r="AM34" s="12" t="str">
        <f t="shared" si="0"/>
        <v/>
      </c>
      <c r="AN34" s="12">
        <f t="shared" si="5"/>
        <v>0</v>
      </c>
      <c r="AO34" s="12" t="s">
        <v>175</v>
      </c>
      <c r="AP34" s="12" t="str">
        <f>IFERROR(VLOOKUP(AN34,NOV!$K$23:$M$38,3,FALSE),"")</f>
        <v/>
      </c>
    </row>
    <row r="35" spans="2:42" ht="14.25" customHeight="1">
      <c r="B35" s="15"/>
      <c r="C35" s="16"/>
      <c r="D35" s="17"/>
      <c r="F35" s="15"/>
      <c r="G35" s="16"/>
      <c r="H35" s="16"/>
      <c r="I35" s="17">
        <f>NOV!$G35-NOV!$H35</f>
        <v>0</v>
      </c>
      <c r="K35" s="15"/>
      <c r="L35" s="16"/>
      <c r="M35" s="16"/>
      <c r="N35" s="17">
        <f>NOV!$L35-NOV!$M35</f>
        <v>0</v>
      </c>
      <c r="P35" s="15"/>
      <c r="Q35" s="16"/>
      <c r="R35" s="16"/>
      <c r="S35" s="17">
        <f>NOV!$Q35-NOV!$R35</f>
        <v>0</v>
      </c>
      <c r="U35" s="15"/>
      <c r="V35" s="16"/>
      <c r="W35" s="16"/>
      <c r="X35" s="17">
        <f>NOV!$V35-NOV!$W35</f>
        <v>0</v>
      </c>
      <c r="AM35" s="12" t="str">
        <f t="shared" si="0"/>
        <v/>
      </c>
      <c r="AN35" s="12">
        <f t="shared" ref="AN35:AN49" si="6">P23</f>
        <v>0</v>
      </c>
      <c r="AO35" s="12" t="s">
        <v>175</v>
      </c>
      <c r="AP35" s="12" t="str">
        <f>IFERROR(VLOOKUP(AN35,NOV!$P$23:$R$38,3,FALSE),"")</f>
        <v/>
      </c>
    </row>
    <row r="36" spans="2:42" ht="14.25" customHeight="1">
      <c r="B36" s="15"/>
      <c r="C36" s="16"/>
      <c r="D36" s="17"/>
      <c r="F36" s="15"/>
      <c r="G36" s="16"/>
      <c r="H36" s="16"/>
      <c r="I36" s="17">
        <f>NOV!$G36-NOV!$H36</f>
        <v>0</v>
      </c>
      <c r="K36" s="15"/>
      <c r="L36" s="16"/>
      <c r="M36" s="16"/>
      <c r="N36" s="17">
        <f>NOV!$L36-NOV!$M36</f>
        <v>0</v>
      </c>
      <c r="P36" s="15"/>
      <c r="Q36" s="16"/>
      <c r="R36" s="16"/>
      <c r="S36" s="17">
        <f>NOV!$Q36-NOV!$R36</f>
        <v>0</v>
      </c>
      <c r="U36" s="15"/>
      <c r="V36" s="16"/>
      <c r="W36" s="16"/>
      <c r="X36" s="17">
        <f>NOV!$V36-NOV!$W36</f>
        <v>0</v>
      </c>
      <c r="AM36" s="12" t="str">
        <f t="shared" si="0"/>
        <v/>
      </c>
      <c r="AN36" s="12">
        <f t="shared" si="6"/>
        <v>0</v>
      </c>
      <c r="AO36" s="12" t="s">
        <v>175</v>
      </c>
      <c r="AP36" s="12" t="str">
        <f>IFERROR(VLOOKUP(AN36,NOV!$P$23:$R$38,3,FALSE),"")</f>
        <v/>
      </c>
    </row>
    <row r="37" spans="2:42" ht="14.25" customHeight="1">
      <c r="B37" s="15"/>
      <c r="C37" s="16"/>
      <c r="D37" s="17"/>
      <c r="F37" s="15"/>
      <c r="G37" s="16"/>
      <c r="H37" s="16"/>
      <c r="I37" s="17">
        <f>NOV!$G37-NOV!$H37</f>
        <v>0</v>
      </c>
      <c r="K37" s="15"/>
      <c r="L37" s="16"/>
      <c r="M37" s="16"/>
      <c r="N37" s="17">
        <f>NOV!$L37-NOV!$M37</f>
        <v>0</v>
      </c>
      <c r="P37" s="15"/>
      <c r="Q37" s="16"/>
      <c r="R37" s="16"/>
      <c r="S37" s="17">
        <f>NOV!$Q37-NOV!$R37</f>
        <v>0</v>
      </c>
      <c r="U37" s="15"/>
      <c r="V37" s="16"/>
      <c r="W37" s="16"/>
      <c r="X37" s="17">
        <f>NOV!$V37-NOV!$W37</f>
        <v>0</v>
      </c>
      <c r="AM37" s="12" t="str">
        <f t="shared" si="0"/>
        <v/>
      </c>
      <c r="AN37" s="12">
        <f t="shared" si="6"/>
        <v>0</v>
      </c>
      <c r="AO37" s="12" t="s">
        <v>175</v>
      </c>
      <c r="AP37" s="12" t="str">
        <f>IFERROR(VLOOKUP(AN37,NOV!$P$23:$R$38,3,FALSE),"")</f>
        <v/>
      </c>
    </row>
    <row r="38" spans="2:42" ht="14.25" customHeight="1">
      <c r="B38" s="18"/>
      <c r="C38" s="19"/>
      <c r="D38" s="20"/>
      <c r="F38" s="18"/>
      <c r="G38" s="19"/>
      <c r="H38" s="19"/>
      <c r="I38" s="20">
        <f>NOV!$G38-NOV!$H38</f>
        <v>0</v>
      </c>
      <c r="K38" s="18"/>
      <c r="L38" s="19"/>
      <c r="M38" s="19"/>
      <c r="N38" s="20">
        <f>NOV!$L38-NOV!$M38</f>
        <v>0</v>
      </c>
      <c r="P38" s="18"/>
      <c r="Q38" s="19"/>
      <c r="R38" s="19"/>
      <c r="S38" s="20">
        <f>NOV!$Q38-NOV!$R38</f>
        <v>0</v>
      </c>
      <c r="U38" s="18"/>
      <c r="V38" s="19"/>
      <c r="W38" s="19"/>
      <c r="X38" s="20">
        <f>NOV!$V38-NOV!$W38</f>
        <v>0</v>
      </c>
      <c r="AM38" s="12" t="str">
        <f t="shared" si="0"/>
        <v/>
      </c>
      <c r="AN38" s="12">
        <f t="shared" si="6"/>
        <v>0</v>
      </c>
      <c r="AO38" s="12" t="s">
        <v>175</v>
      </c>
      <c r="AP38" s="12" t="str">
        <f>IFERROR(VLOOKUP(AN38,NOV!$P$23:$R$38,3,FALSE),"")</f>
        <v/>
      </c>
    </row>
    <row r="39" spans="2:42" ht="14.25" customHeight="1">
      <c r="AM39" s="12" t="str">
        <f t="shared" si="0"/>
        <v/>
      </c>
      <c r="AN39" s="12">
        <f t="shared" si="6"/>
        <v>0</v>
      </c>
      <c r="AO39" s="12" t="s">
        <v>175</v>
      </c>
      <c r="AP39" s="12" t="str">
        <f>IFERROR(VLOOKUP(AN39,NOV!$P$23:$R$38,3,FALSE),"")</f>
        <v/>
      </c>
    </row>
    <row r="40" spans="2:42" ht="14.25" customHeight="1">
      <c r="AM40" s="12" t="str">
        <f t="shared" si="0"/>
        <v/>
      </c>
      <c r="AN40" s="12">
        <f t="shared" si="6"/>
        <v>0</v>
      </c>
      <c r="AO40" s="12" t="s">
        <v>175</v>
      </c>
      <c r="AP40" s="12" t="str">
        <f>IFERROR(VLOOKUP(AN40,NOV!$P$23:$R$38,3,FALSE),"")</f>
        <v/>
      </c>
    </row>
    <row r="41" spans="2:42" ht="14.25" customHeight="1">
      <c r="AM41" s="12" t="str">
        <f t="shared" si="0"/>
        <v/>
      </c>
      <c r="AN41" s="12">
        <f t="shared" si="6"/>
        <v>0</v>
      </c>
      <c r="AO41" s="12" t="s">
        <v>175</v>
      </c>
      <c r="AP41" s="12" t="str">
        <f>IFERROR(VLOOKUP(AN41,NOV!$P$23:$R$38,3,FALSE),"")</f>
        <v/>
      </c>
    </row>
    <row r="42" spans="2:42" ht="14.25" customHeight="1">
      <c r="AM42" s="12" t="str">
        <f t="shared" si="0"/>
        <v/>
      </c>
      <c r="AN42" s="12">
        <f t="shared" si="6"/>
        <v>0</v>
      </c>
      <c r="AO42" s="12" t="s">
        <v>175</v>
      </c>
      <c r="AP42" s="12" t="str">
        <f>IFERROR(VLOOKUP(AN42,NOV!$P$23:$R$38,3,FALSE),"")</f>
        <v/>
      </c>
    </row>
    <row r="43" spans="2:42" ht="14.25" customHeight="1">
      <c r="AM43" s="12" t="str">
        <f t="shared" si="0"/>
        <v/>
      </c>
      <c r="AN43" s="12">
        <f t="shared" si="6"/>
        <v>0</v>
      </c>
      <c r="AO43" s="12" t="s">
        <v>175</v>
      </c>
      <c r="AP43" s="12" t="str">
        <f>IFERROR(VLOOKUP(AN43,NOV!$P$23:$R$38,3,FALSE),"")</f>
        <v/>
      </c>
    </row>
    <row r="44" spans="2:42" ht="14.25" customHeight="1">
      <c r="AM44" s="12" t="str">
        <f t="shared" si="0"/>
        <v/>
      </c>
      <c r="AN44" s="12">
        <f t="shared" si="6"/>
        <v>0</v>
      </c>
      <c r="AO44" s="12" t="s">
        <v>175</v>
      </c>
      <c r="AP44" s="12" t="str">
        <f>IFERROR(VLOOKUP(AN44,NOV!$P$23:$R$38,3,FALSE),"")</f>
        <v/>
      </c>
    </row>
    <row r="45" spans="2:42" ht="14.25" customHeight="1">
      <c r="AM45" s="12" t="str">
        <f t="shared" si="0"/>
        <v/>
      </c>
      <c r="AN45" s="12">
        <f t="shared" si="6"/>
        <v>0</v>
      </c>
      <c r="AO45" s="12" t="s">
        <v>175</v>
      </c>
      <c r="AP45" s="12" t="str">
        <f>IFERROR(VLOOKUP(AN45,NOV!$P$23:$R$38,3,FALSE),"")</f>
        <v/>
      </c>
    </row>
    <row r="46" spans="2:42" ht="14.25" customHeight="1">
      <c r="AM46" s="12" t="str">
        <f t="shared" si="0"/>
        <v/>
      </c>
      <c r="AN46" s="12">
        <f t="shared" si="6"/>
        <v>0</v>
      </c>
      <c r="AO46" s="12" t="s">
        <v>175</v>
      </c>
      <c r="AP46" s="12" t="str">
        <f>IFERROR(VLOOKUP(AN46,NOV!$P$23:$R$38,3,FALSE),"")</f>
        <v/>
      </c>
    </row>
    <row r="47" spans="2:42" ht="14.25" customHeight="1">
      <c r="AM47" s="12" t="str">
        <f t="shared" si="0"/>
        <v/>
      </c>
      <c r="AN47" s="12">
        <f t="shared" si="6"/>
        <v>0</v>
      </c>
      <c r="AO47" s="12" t="s">
        <v>175</v>
      </c>
      <c r="AP47" s="12" t="str">
        <f>IFERROR(VLOOKUP(AN47,NOV!$P$23:$R$38,3,FALSE),"")</f>
        <v/>
      </c>
    </row>
    <row r="48" spans="2:42" ht="14.25" customHeight="1">
      <c r="AM48" s="12" t="str">
        <f t="shared" si="0"/>
        <v/>
      </c>
      <c r="AN48" s="12">
        <f t="shared" si="6"/>
        <v>0</v>
      </c>
      <c r="AO48" s="12" t="s">
        <v>175</v>
      </c>
      <c r="AP48" s="12" t="str">
        <f>IFERROR(VLOOKUP(AN48,NOV!$P$23:$R$38,3,FALSE),"")</f>
        <v/>
      </c>
    </row>
    <row r="49" spans="39:42" ht="14.25" customHeight="1">
      <c r="AM49" s="12" t="str">
        <f t="shared" si="0"/>
        <v/>
      </c>
      <c r="AN49" s="12">
        <f t="shared" si="6"/>
        <v>0</v>
      </c>
      <c r="AO49" s="12" t="s">
        <v>161</v>
      </c>
      <c r="AP49" s="12" t="str">
        <f>IFERROR(VLOOKUP(AN49,NOV!$P$23:$R$38,3,FALSE),"")</f>
        <v/>
      </c>
    </row>
    <row r="50" spans="39:42" ht="14.25" customHeight="1">
      <c r="AM50" s="12" t="str">
        <f t="shared" si="0"/>
        <v/>
      </c>
      <c r="AN50" s="12">
        <f t="shared" ref="AN50:AN65" si="7">U23</f>
        <v>0</v>
      </c>
      <c r="AO50" s="12" t="s">
        <v>161</v>
      </c>
      <c r="AP50" s="12" t="str">
        <f>IFERROR(VLOOKUP(AN50,NOV!$U$23:$W$38,3,FALSE),"")</f>
        <v/>
      </c>
    </row>
    <row r="51" spans="39:42" ht="14.25" customHeight="1">
      <c r="AM51" s="12" t="str">
        <f t="shared" si="0"/>
        <v/>
      </c>
      <c r="AN51" s="12">
        <f t="shared" si="7"/>
        <v>0</v>
      </c>
      <c r="AO51" s="12" t="s">
        <v>161</v>
      </c>
      <c r="AP51" s="12" t="str">
        <f>IFERROR(VLOOKUP(AN51,NOV!$U$23:$W$38,3,FALSE),"")</f>
        <v/>
      </c>
    </row>
    <row r="52" spans="39:42" ht="14.25" customHeight="1">
      <c r="AM52" s="12" t="str">
        <f t="shared" si="0"/>
        <v/>
      </c>
      <c r="AN52" s="12">
        <f t="shared" si="7"/>
        <v>0</v>
      </c>
      <c r="AO52" s="12" t="s">
        <v>161</v>
      </c>
      <c r="AP52" s="12" t="str">
        <f>IFERROR(VLOOKUP(AN52,NOV!$U$23:$W$38,3,FALSE),"")</f>
        <v/>
      </c>
    </row>
    <row r="53" spans="39:42" ht="14.25" customHeight="1">
      <c r="AM53" s="12" t="str">
        <f t="shared" si="0"/>
        <v/>
      </c>
      <c r="AN53" s="12">
        <f t="shared" si="7"/>
        <v>0</v>
      </c>
      <c r="AO53" s="12" t="s">
        <v>161</v>
      </c>
      <c r="AP53" s="12" t="str">
        <f>IFERROR(VLOOKUP(AN53,NOV!$U$23:$W$38,3,FALSE),"")</f>
        <v/>
      </c>
    </row>
    <row r="54" spans="39:42" ht="14.25" customHeight="1">
      <c r="AM54" s="12" t="str">
        <f t="shared" si="0"/>
        <v/>
      </c>
      <c r="AN54" s="12">
        <f t="shared" si="7"/>
        <v>0</v>
      </c>
      <c r="AO54" s="12" t="s">
        <v>161</v>
      </c>
      <c r="AP54" s="12" t="str">
        <f>IFERROR(VLOOKUP(AN54,NOV!$U$23:$W$38,3,FALSE),"")</f>
        <v/>
      </c>
    </row>
    <row r="55" spans="39:42" ht="14.25" customHeight="1">
      <c r="AM55" s="12" t="str">
        <f t="shared" si="0"/>
        <v/>
      </c>
      <c r="AN55" s="12">
        <f t="shared" si="7"/>
        <v>0</v>
      </c>
      <c r="AO55" s="12" t="s">
        <v>161</v>
      </c>
      <c r="AP55" s="12" t="str">
        <f>IFERROR(VLOOKUP(AN55,NOV!$U$23:$W$38,3,FALSE),"")</f>
        <v/>
      </c>
    </row>
    <row r="56" spans="39:42" ht="14.25" customHeight="1">
      <c r="AM56" s="12" t="str">
        <f t="shared" si="0"/>
        <v/>
      </c>
      <c r="AN56" s="12">
        <f t="shared" si="7"/>
        <v>0</v>
      </c>
      <c r="AO56" s="12" t="s">
        <v>161</v>
      </c>
      <c r="AP56" s="12" t="str">
        <f>IFERROR(VLOOKUP(AN56,NOV!$U$23:$W$38,3,FALSE),"")</f>
        <v/>
      </c>
    </row>
    <row r="57" spans="39:42" ht="14.25" customHeight="1">
      <c r="AM57" s="12" t="str">
        <f t="shared" si="0"/>
        <v/>
      </c>
      <c r="AN57" s="12">
        <f t="shared" si="7"/>
        <v>0</v>
      </c>
      <c r="AO57" s="12" t="s">
        <v>161</v>
      </c>
      <c r="AP57" s="12" t="str">
        <f>IFERROR(VLOOKUP(AN57,NOV!$U$23:$W$38,3,FALSE),"")</f>
        <v/>
      </c>
    </row>
    <row r="58" spans="39:42" ht="14.25" customHeight="1">
      <c r="AM58" s="12" t="str">
        <f t="shared" si="0"/>
        <v/>
      </c>
      <c r="AN58" s="12">
        <f t="shared" si="7"/>
        <v>0</v>
      </c>
      <c r="AO58" s="12" t="s">
        <v>161</v>
      </c>
      <c r="AP58" s="12" t="str">
        <f>IFERROR(VLOOKUP(AN58,NOV!$U$23:$W$38,3,FALSE),"")</f>
        <v/>
      </c>
    </row>
    <row r="59" spans="39:42" ht="14.25" customHeight="1">
      <c r="AM59" s="12" t="str">
        <f t="shared" si="0"/>
        <v/>
      </c>
      <c r="AN59" s="12">
        <f t="shared" si="7"/>
        <v>0</v>
      </c>
      <c r="AO59" s="12" t="s">
        <v>161</v>
      </c>
      <c r="AP59" s="12" t="str">
        <f>IFERROR(VLOOKUP(AN59,NOV!$U$23:$W$38,3,FALSE),"")</f>
        <v/>
      </c>
    </row>
    <row r="60" spans="39:42" ht="14.25" customHeight="1">
      <c r="AM60" s="12" t="str">
        <f t="shared" si="0"/>
        <v/>
      </c>
      <c r="AN60" s="12">
        <f t="shared" si="7"/>
        <v>0</v>
      </c>
      <c r="AO60" s="12" t="s">
        <v>161</v>
      </c>
      <c r="AP60" s="12" t="str">
        <f>IFERROR(VLOOKUP(AN60,NOV!$U$23:$W$38,3,FALSE),"")</f>
        <v/>
      </c>
    </row>
    <row r="61" spans="39:42" ht="14.25" customHeight="1">
      <c r="AM61" s="12" t="str">
        <f t="shared" si="0"/>
        <v/>
      </c>
      <c r="AN61" s="12">
        <f t="shared" si="7"/>
        <v>0</v>
      </c>
      <c r="AO61" s="12" t="s">
        <v>161</v>
      </c>
      <c r="AP61" s="12" t="str">
        <f>IFERROR(VLOOKUP(AN61,NOV!$U$23:$W$38,3,FALSE),"")</f>
        <v/>
      </c>
    </row>
    <row r="62" spans="39:42" ht="14.25" customHeight="1">
      <c r="AM62" s="12" t="str">
        <f t="shared" si="0"/>
        <v/>
      </c>
      <c r="AN62" s="12">
        <f t="shared" si="7"/>
        <v>0</v>
      </c>
      <c r="AO62" s="12" t="s">
        <v>161</v>
      </c>
      <c r="AP62" s="12" t="str">
        <f>IFERROR(VLOOKUP(AN62,NOV!$U$23:$W$38,3,FALSE),"")</f>
        <v/>
      </c>
    </row>
    <row r="63" spans="39:42" ht="14.25" customHeight="1">
      <c r="AM63" s="12" t="str">
        <f t="shared" si="0"/>
        <v/>
      </c>
      <c r="AN63" s="12">
        <f t="shared" si="7"/>
        <v>0</v>
      </c>
      <c r="AO63" s="12" t="s">
        <v>161</v>
      </c>
      <c r="AP63" s="12" t="str">
        <f>IFERROR(VLOOKUP(AN63,NOV!$U$23:$W$38,3,FALSE),"")</f>
        <v/>
      </c>
    </row>
    <row r="64" spans="39:42" ht="14.25" customHeight="1">
      <c r="AM64" s="12" t="str">
        <f t="shared" si="0"/>
        <v/>
      </c>
      <c r="AN64" s="12">
        <f t="shared" si="7"/>
        <v>0</v>
      </c>
      <c r="AO64" s="12" t="s">
        <v>161</v>
      </c>
      <c r="AP64" s="12" t="str">
        <f>IFERROR(VLOOKUP(AN64,NOV!$U$23:$W$38,3,FALSE),"")</f>
        <v/>
      </c>
    </row>
    <row r="65" spans="39:42" ht="14.25" customHeight="1">
      <c r="AM65" s="12" t="str">
        <f t="shared" si="0"/>
        <v/>
      </c>
      <c r="AN65" s="12">
        <f t="shared" si="7"/>
        <v>0</v>
      </c>
      <c r="AO65" s="12" t="s">
        <v>161</v>
      </c>
      <c r="AP65" s="12" t="str">
        <f>IFERROR(VLOOKUP(AN65,NOV!$U$23:$W$38,3,FALSE),"")</f>
        <v/>
      </c>
    </row>
    <row r="66" spans="39:42" ht="14.25" customHeight="1"/>
    <row r="67" spans="39:42" ht="14.25" customHeight="1"/>
    <row r="68" spans="39:42" ht="14.25" customHeight="1"/>
    <row r="69" spans="39:42" ht="14.25" customHeight="1"/>
    <row r="70" spans="39:42" ht="14.25" customHeight="1"/>
    <row r="71" spans="39:42" ht="14.25" customHeight="1"/>
    <row r="72" spans="39:42" ht="14.25" customHeight="1"/>
    <row r="73" spans="39:42" ht="14.25" customHeight="1"/>
    <row r="74" spans="39:42" ht="14.25" customHeight="1"/>
    <row r="75" spans="39:42" ht="14.25" customHeight="1"/>
    <row r="76" spans="39:42" ht="14.25" customHeight="1"/>
    <row r="77" spans="39:42" ht="14.25" customHeight="1"/>
    <row r="78" spans="39:42" ht="14.25" customHeight="1"/>
    <row r="79" spans="39:42" ht="14.25" customHeight="1"/>
    <row r="80" spans="39:4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N2:AP65" xr:uid="{00000000-0009-0000-0000-00000C000000}"/>
  <mergeCells count="18">
    <mergeCell ref="B2:D4"/>
    <mergeCell ref="F2:H3"/>
    <mergeCell ref="J2:L3"/>
    <mergeCell ref="R2:T3"/>
    <mergeCell ref="F4:H5"/>
    <mergeCell ref="J4:L5"/>
    <mergeCell ref="R4:T5"/>
    <mergeCell ref="B5:D5"/>
    <mergeCell ref="B7:D9"/>
    <mergeCell ref="B20:D21"/>
    <mergeCell ref="F20:I21"/>
    <mergeCell ref="K20:N21"/>
    <mergeCell ref="N2:P3"/>
    <mergeCell ref="N4:P5"/>
    <mergeCell ref="V2:X3"/>
    <mergeCell ref="V4:X5"/>
    <mergeCell ref="U20:X21"/>
    <mergeCell ref="P20:S21"/>
  </mergeCells>
  <pageMargins left="0.7" right="0.7" top="0.75" bottom="0.75" header="0" footer="0"/>
  <pageSetup orientation="landscape"/>
  <drawing r:id="rId1"/>
  <tableParts count="5">
    <tablePart r:id="rId2"/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C00-000000000000}">
          <x14:formula1>
            <xm:f>lists!$D$2:$D$21</xm:f>
          </x14:formula1>
          <xm:sqref>P23:P38</xm:sqref>
        </x14:dataValidation>
        <x14:dataValidation type="list" allowBlank="1" showErrorMessage="1" xr:uid="{00000000-0002-0000-0C00-000001000000}">
          <x14:formula1>
            <xm:f>lists!$A$2:$A$35</xm:f>
          </x14:formula1>
          <xm:sqref>B23:B38</xm:sqref>
        </x14:dataValidation>
        <x14:dataValidation type="list" allowBlank="1" showErrorMessage="1" xr:uid="{00000000-0002-0000-0C00-000002000000}">
          <x14:formula1>
            <xm:f>lists!$B$2:$B$24</xm:f>
          </x14:formula1>
          <xm:sqref>F23:F38</xm:sqref>
        </x14:dataValidation>
        <x14:dataValidation type="list" allowBlank="1" showErrorMessage="1" xr:uid="{00000000-0002-0000-0C00-000003000000}">
          <x14:formula1>
            <xm:f>lists!$E$2:$E$25</xm:f>
          </x14:formula1>
          <xm:sqref>U23:U38</xm:sqref>
        </x14:dataValidation>
        <x14:dataValidation type="list" allowBlank="1" showErrorMessage="1" xr:uid="{00000000-0002-0000-0C00-000004000000}">
          <x14:formula1>
            <xm:f>lists!$C$2:$C$32</xm:f>
          </x14:formula1>
          <xm:sqref>K23:K38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CC2E5"/>
  </sheetPr>
  <dimension ref="B1:AP1000"/>
  <sheetViews>
    <sheetView workbookViewId="0"/>
  </sheetViews>
  <sheetFormatPr defaultColWidth="14.3984375" defaultRowHeight="15" customHeight="1"/>
  <cols>
    <col min="1" max="1" width="3.3984375" customWidth="1"/>
    <col min="2" max="2" width="14.265625" customWidth="1"/>
    <col min="3" max="3" width="14.3984375" customWidth="1"/>
    <col min="4" max="4" width="15.3984375" customWidth="1"/>
    <col min="5" max="5" width="4.3984375" customWidth="1"/>
    <col min="6" max="6" width="12.1328125" customWidth="1"/>
    <col min="7" max="8" width="12.73046875" customWidth="1"/>
    <col min="9" max="9" width="11.73046875" customWidth="1"/>
    <col min="10" max="10" width="8.73046875" customWidth="1"/>
    <col min="11" max="11" width="10.1328125" customWidth="1"/>
    <col min="12" max="13" width="11.86328125" customWidth="1"/>
    <col min="14" max="14" width="11.73046875" customWidth="1"/>
    <col min="15" max="15" width="8.73046875" customWidth="1"/>
    <col min="16" max="16" width="13.86328125" customWidth="1"/>
    <col min="17" max="18" width="11.86328125" customWidth="1"/>
    <col min="19" max="19" width="11.73046875" customWidth="1"/>
    <col min="20" max="20" width="8.73046875" customWidth="1"/>
    <col min="21" max="21" width="16.265625" customWidth="1"/>
    <col min="22" max="22" width="13" customWidth="1"/>
    <col min="23" max="23" width="17.1328125" customWidth="1"/>
    <col min="24" max="24" width="13.86328125" customWidth="1"/>
    <col min="25" max="37" width="8.73046875" customWidth="1"/>
    <col min="38" max="39" width="8.73046875" hidden="1" customWidth="1"/>
    <col min="40" max="40" width="17.53125" hidden="1" customWidth="1"/>
    <col min="41" max="41" width="12.3984375" hidden="1" customWidth="1"/>
    <col min="42" max="42" width="14.86328125" hidden="1" customWidth="1"/>
  </cols>
  <sheetData>
    <row r="1" spans="2:42" ht="14.25" customHeight="1"/>
    <row r="2" spans="2:42" ht="19.5" customHeight="1">
      <c r="B2" s="50" t="s">
        <v>186</v>
      </c>
      <c r="C2" s="30"/>
      <c r="D2" s="25"/>
      <c r="F2" s="29" t="s">
        <v>157</v>
      </c>
      <c r="G2" s="30"/>
      <c r="H2" s="25"/>
      <c r="J2" s="29" t="s">
        <v>158</v>
      </c>
      <c r="K2" s="30"/>
      <c r="L2" s="25"/>
      <c r="N2" s="29" t="s">
        <v>159</v>
      </c>
      <c r="O2" s="30"/>
      <c r="P2" s="25"/>
      <c r="R2" s="49" t="s">
        <v>160</v>
      </c>
      <c r="S2" s="30"/>
      <c r="T2" s="25"/>
      <c r="V2" s="33" t="s">
        <v>161</v>
      </c>
      <c r="W2" s="30"/>
      <c r="X2" s="25"/>
      <c r="AM2" s="11" t="s">
        <v>162</v>
      </c>
      <c r="AN2" s="11" t="s">
        <v>163</v>
      </c>
      <c r="AO2" s="11" t="s">
        <v>164</v>
      </c>
      <c r="AP2" s="11" t="s">
        <v>165</v>
      </c>
    </row>
    <row r="3" spans="2:42" ht="19.5" customHeight="1">
      <c r="B3" s="51"/>
      <c r="C3" s="45"/>
      <c r="D3" s="52"/>
      <c r="F3" s="26"/>
      <c r="G3" s="31"/>
      <c r="H3" s="27"/>
      <c r="J3" s="26"/>
      <c r="K3" s="31"/>
      <c r="L3" s="27"/>
      <c r="N3" s="26"/>
      <c r="O3" s="31"/>
      <c r="P3" s="27"/>
      <c r="R3" s="26"/>
      <c r="S3" s="31"/>
      <c r="T3" s="27"/>
      <c r="V3" s="26"/>
      <c r="W3" s="31"/>
      <c r="X3" s="27"/>
      <c r="AM3" s="12" t="str">
        <f t="shared" ref="AM3:AM65" si="0">IFERROR(_xlfn.RANK.EQ(AP3, $AP$3:$AP$150)+ COUNTIFS($AP$3:AP3, AP3) - 1,"")</f>
        <v/>
      </c>
      <c r="AN3" s="12">
        <f t="shared" ref="AN3:AN18" si="1">F23</f>
        <v>0</v>
      </c>
      <c r="AO3" s="12" t="s">
        <v>158</v>
      </c>
      <c r="AP3" s="12" t="str">
        <f>IFERROR(VLOOKUP(AN3,DEC!$F$23:$H$38,3,FALSE),"")</f>
        <v/>
      </c>
    </row>
    <row r="4" spans="2:42" ht="19.5" customHeight="1">
      <c r="B4" s="35"/>
      <c r="C4" s="36"/>
      <c r="D4" s="37"/>
      <c r="F4" s="32">
        <f>SUM(DEC!$D$23:$D$38)</f>
        <v>0</v>
      </c>
      <c r="G4" s="30"/>
      <c r="H4" s="25"/>
      <c r="J4" s="32">
        <f>SUM(DEC!$H$23:$H$38)</f>
        <v>0</v>
      </c>
      <c r="K4" s="30"/>
      <c r="L4" s="25"/>
      <c r="N4" s="32">
        <f>SUM(DEC!$M$23:$M$38)</f>
        <v>0</v>
      </c>
      <c r="O4" s="30"/>
      <c r="P4" s="25"/>
      <c r="R4" s="32">
        <f>SUM(DEC!$R$23:$R$38)</f>
        <v>0</v>
      </c>
      <c r="S4" s="30"/>
      <c r="T4" s="25"/>
      <c r="V4" s="32">
        <f>SUM(DEC!$W$23:$W$38)</f>
        <v>0</v>
      </c>
      <c r="W4" s="30"/>
      <c r="X4" s="25"/>
      <c r="AM4" s="12" t="str">
        <f t="shared" si="0"/>
        <v/>
      </c>
      <c r="AN4" s="12">
        <f t="shared" si="1"/>
        <v>0</v>
      </c>
      <c r="AO4" s="12" t="s">
        <v>158</v>
      </c>
      <c r="AP4" s="12" t="str">
        <f>IFERROR(VLOOKUP(AN4,DEC!$F$23:$H$38,3,FALSE),"")</f>
        <v/>
      </c>
    </row>
    <row r="5" spans="2:42" ht="21.75" customHeight="1">
      <c r="B5" s="38" t="s">
        <v>166</v>
      </c>
      <c r="C5" s="39"/>
      <c r="D5" s="40"/>
      <c r="F5" s="26"/>
      <c r="G5" s="31"/>
      <c r="H5" s="27"/>
      <c r="J5" s="26"/>
      <c r="K5" s="31"/>
      <c r="L5" s="27"/>
      <c r="N5" s="26"/>
      <c r="O5" s="31"/>
      <c r="P5" s="27"/>
      <c r="R5" s="26"/>
      <c r="S5" s="31"/>
      <c r="T5" s="27"/>
      <c r="V5" s="26"/>
      <c r="W5" s="31"/>
      <c r="X5" s="27"/>
      <c r="AM5" s="12" t="str">
        <f t="shared" si="0"/>
        <v/>
      </c>
      <c r="AN5" s="12">
        <f t="shared" si="1"/>
        <v>0</v>
      </c>
      <c r="AO5" s="12" t="s">
        <v>158</v>
      </c>
      <c r="AP5" s="12" t="str">
        <f>IFERROR(VLOOKUP(AN5,DEC!$F$23:$H$38,3,FALSE),"")</f>
        <v/>
      </c>
    </row>
    <row r="6" spans="2:42" ht="14.25" customHeight="1">
      <c r="AM6" s="12" t="str">
        <f t="shared" si="0"/>
        <v/>
      </c>
      <c r="AN6" s="12">
        <f t="shared" si="1"/>
        <v>0</v>
      </c>
      <c r="AO6" s="12" t="s">
        <v>158</v>
      </c>
      <c r="AP6" s="12" t="str">
        <f>IFERROR(VLOOKUP(AN6,DEC!$F$23:$H$38,3,FALSE),"")</f>
        <v/>
      </c>
    </row>
    <row r="7" spans="2:42" ht="13.5" customHeight="1">
      <c r="B7" s="41" t="s">
        <v>167</v>
      </c>
      <c r="C7" s="42"/>
      <c r="D7" s="43"/>
      <c r="V7" s="13" t="s">
        <v>168</v>
      </c>
      <c r="W7" s="13" t="s">
        <v>163</v>
      </c>
      <c r="X7" s="13" t="s">
        <v>169</v>
      </c>
      <c r="AM7" s="12" t="str">
        <f t="shared" si="0"/>
        <v/>
      </c>
      <c r="AN7" s="12">
        <f t="shared" si="1"/>
        <v>0</v>
      </c>
      <c r="AO7" s="12" t="s">
        <v>158</v>
      </c>
      <c r="AP7" s="12" t="str">
        <f>IFERROR(VLOOKUP(AN7,DEC!$F$23:$H$38,3,FALSE),"")</f>
        <v/>
      </c>
    </row>
    <row r="8" spans="2:42" ht="13.5" customHeight="1">
      <c r="B8" s="44"/>
      <c r="C8" s="45"/>
      <c r="D8" s="46"/>
      <c r="V8" s="12">
        <v>1</v>
      </c>
      <c r="W8" s="12" t="str">
        <f t="shared" ref="W8:W18" si="2">IFERROR(VLOOKUP(V8,$AM$3:$AP$65,2,FALSE),"")</f>
        <v/>
      </c>
      <c r="X8" s="12" t="str">
        <f t="shared" ref="X8:X18" si="3">IFERROR(VLOOKUP(V8,$AM$3:$AP$65,4,FALSE),"")</f>
        <v/>
      </c>
      <c r="AM8" s="12" t="str">
        <f t="shared" si="0"/>
        <v/>
      </c>
      <c r="AN8" s="12">
        <f t="shared" si="1"/>
        <v>0</v>
      </c>
      <c r="AO8" s="12" t="s">
        <v>158</v>
      </c>
      <c r="AP8" s="12" t="str">
        <f>IFERROR(VLOOKUP(AN8,DEC!$F$23:$H$38,3,FALSE),"")</f>
        <v/>
      </c>
    </row>
    <row r="9" spans="2:42" ht="13.5" customHeight="1">
      <c r="B9" s="47"/>
      <c r="C9" s="31"/>
      <c r="D9" s="48"/>
      <c r="V9" s="12">
        <v>2</v>
      </c>
      <c r="W9" s="12" t="str">
        <f t="shared" si="2"/>
        <v/>
      </c>
      <c r="X9" s="12" t="str">
        <f t="shared" si="3"/>
        <v/>
      </c>
      <c r="AM9" s="12" t="str">
        <f t="shared" si="0"/>
        <v/>
      </c>
      <c r="AN9" s="12">
        <f t="shared" si="1"/>
        <v>0</v>
      </c>
      <c r="AO9" s="12" t="s">
        <v>158</v>
      </c>
      <c r="AP9" s="12" t="str">
        <f>IFERROR(VLOOKUP(AN9,DEC!$F$23:$H$38,3,FALSE),"")</f>
        <v/>
      </c>
    </row>
    <row r="10" spans="2:42" ht="13.5" customHeight="1">
      <c r="B10" s="14"/>
      <c r="C10" s="14" t="s">
        <v>170</v>
      </c>
      <c r="D10" s="14" t="s">
        <v>171</v>
      </c>
      <c r="V10" s="12">
        <v>3</v>
      </c>
      <c r="W10" s="12" t="str">
        <f t="shared" si="2"/>
        <v/>
      </c>
      <c r="X10" s="12" t="str">
        <f t="shared" si="3"/>
        <v/>
      </c>
      <c r="AM10" s="12" t="str">
        <f t="shared" si="0"/>
        <v/>
      </c>
      <c r="AN10" s="12">
        <f t="shared" si="1"/>
        <v>0</v>
      </c>
      <c r="AO10" s="12" t="s">
        <v>158</v>
      </c>
      <c r="AP10" s="12" t="str">
        <f>IFERROR(VLOOKUP(AN10,DEC!$F$23:$H$38,3,FALSE),"")</f>
        <v/>
      </c>
    </row>
    <row r="11" spans="2:42" ht="13.5" customHeight="1">
      <c r="B11" s="15" t="s">
        <v>157</v>
      </c>
      <c r="C11" s="16">
        <f>SUM(DEC!$C$23:$C$38)</f>
        <v>0</v>
      </c>
      <c r="D11" s="17">
        <f>SUM(DEC!$D$23:$D$38)</f>
        <v>0</v>
      </c>
      <c r="V11" s="12">
        <v>4</v>
      </c>
      <c r="W11" s="12" t="str">
        <f t="shared" si="2"/>
        <v/>
      </c>
      <c r="X11" s="12" t="str">
        <f t="shared" si="3"/>
        <v/>
      </c>
      <c r="AM11" s="12" t="str">
        <f t="shared" si="0"/>
        <v/>
      </c>
      <c r="AN11" s="12">
        <f t="shared" si="1"/>
        <v>0</v>
      </c>
      <c r="AO11" s="12" t="s">
        <v>158</v>
      </c>
      <c r="AP11" s="12" t="str">
        <f>IFERROR(VLOOKUP(AN11,DEC!$F$23:$H$38,3,FALSE),"")</f>
        <v/>
      </c>
    </row>
    <row r="12" spans="2:42" ht="13.5" customHeight="1">
      <c r="B12" s="15" t="s">
        <v>158</v>
      </c>
      <c r="C12" s="16">
        <f>SUM(DEC!$G$23:$G$38)</f>
        <v>0</v>
      </c>
      <c r="D12" s="17">
        <f>SUM(DEC!$H$23:$H$38)</f>
        <v>0</v>
      </c>
      <c r="V12" s="12">
        <v>5</v>
      </c>
      <c r="W12" s="12" t="str">
        <f t="shared" si="2"/>
        <v/>
      </c>
      <c r="X12" s="12" t="str">
        <f t="shared" si="3"/>
        <v/>
      </c>
      <c r="AM12" s="12" t="str">
        <f t="shared" si="0"/>
        <v/>
      </c>
      <c r="AN12" s="12">
        <f t="shared" si="1"/>
        <v>0</v>
      </c>
      <c r="AO12" s="12" t="s">
        <v>158</v>
      </c>
      <c r="AP12" s="12" t="str">
        <f>IFERROR(VLOOKUP(AN12,DEC!$F$23:$H$38,3,FALSE),"")</f>
        <v/>
      </c>
    </row>
    <row r="13" spans="2:42" ht="13.5" customHeight="1">
      <c r="B13" s="15" t="s">
        <v>159</v>
      </c>
      <c r="C13" s="16">
        <f>SUM(DEC!$L$23:$L$38)</f>
        <v>0</v>
      </c>
      <c r="D13" s="17">
        <f>SUM(DEC!$M$23:$M$38)</f>
        <v>0</v>
      </c>
      <c r="V13" s="12">
        <v>6</v>
      </c>
      <c r="W13" s="12" t="str">
        <f t="shared" si="2"/>
        <v/>
      </c>
      <c r="X13" s="12" t="str">
        <f t="shared" si="3"/>
        <v/>
      </c>
      <c r="AM13" s="12" t="str">
        <f t="shared" si="0"/>
        <v/>
      </c>
      <c r="AN13" s="12">
        <f t="shared" si="1"/>
        <v>0</v>
      </c>
      <c r="AO13" s="12" t="s">
        <v>158</v>
      </c>
      <c r="AP13" s="12" t="str">
        <f>IFERROR(VLOOKUP(AN13,DEC!$F$23:$H$38,3,FALSE),"")</f>
        <v/>
      </c>
    </row>
    <row r="14" spans="2:42" ht="13.5" customHeight="1">
      <c r="B14" s="15" t="s">
        <v>160</v>
      </c>
      <c r="C14" s="16">
        <f>SUM(DEC!$Q$23:$Q$38)</f>
        <v>0</v>
      </c>
      <c r="D14" s="17">
        <f>SUM(DEC!$R$23:$R$38)</f>
        <v>0</v>
      </c>
      <c r="V14" s="12">
        <v>7</v>
      </c>
      <c r="W14" s="12" t="str">
        <f t="shared" si="2"/>
        <v/>
      </c>
      <c r="X14" s="12" t="str">
        <f t="shared" si="3"/>
        <v/>
      </c>
      <c r="AM14" s="12" t="str">
        <f t="shared" si="0"/>
        <v/>
      </c>
      <c r="AN14" s="12">
        <f t="shared" si="1"/>
        <v>0</v>
      </c>
      <c r="AO14" s="12" t="s">
        <v>158</v>
      </c>
      <c r="AP14" s="12" t="str">
        <f>IFERROR(VLOOKUP(AN14,DEC!$F$23:$H$38,3,FALSE),"")</f>
        <v/>
      </c>
    </row>
    <row r="15" spans="2:42" ht="13.5" customHeight="1">
      <c r="B15" s="18" t="s">
        <v>161</v>
      </c>
      <c r="C15" s="19">
        <f>SUM(DEC!$V$23:$V$38)</f>
        <v>0</v>
      </c>
      <c r="D15" s="20">
        <f>SUM(DEC!$W$23:$W$38)</f>
        <v>0</v>
      </c>
      <c r="V15" s="12">
        <v>8</v>
      </c>
      <c r="W15" s="12" t="str">
        <f t="shared" si="2"/>
        <v/>
      </c>
      <c r="X15" s="12" t="str">
        <f t="shared" si="3"/>
        <v/>
      </c>
      <c r="AM15" s="12" t="str">
        <f t="shared" si="0"/>
        <v/>
      </c>
      <c r="AN15" s="12">
        <f t="shared" si="1"/>
        <v>0</v>
      </c>
      <c r="AO15" s="12" t="s">
        <v>158</v>
      </c>
      <c r="AP15" s="12" t="str">
        <f>IFERROR(VLOOKUP(AN15,DEC!$F$23:$H$38,3,FALSE),"")</f>
        <v/>
      </c>
    </row>
    <row r="16" spans="2:42" ht="13.5" customHeight="1">
      <c r="B16" s="21" t="s">
        <v>172</v>
      </c>
      <c r="C16" s="22">
        <f t="shared" ref="C16:D16" si="4">(C11-SUM(C12:C15))</f>
        <v>0</v>
      </c>
      <c r="D16" s="22">
        <f t="shared" si="4"/>
        <v>0</v>
      </c>
      <c r="V16" s="12">
        <v>9</v>
      </c>
      <c r="W16" s="12" t="str">
        <f t="shared" si="2"/>
        <v/>
      </c>
      <c r="X16" s="12" t="str">
        <f t="shared" si="3"/>
        <v/>
      </c>
      <c r="AM16" s="12" t="str">
        <f t="shared" si="0"/>
        <v/>
      </c>
      <c r="AN16" s="12">
        <f t="shared" si="1"/>
        <v>0</v>
      </c>
      <c r="AO16" s="12" t="s">
        <v>158</v>
      </c>
      <c r="AP16" s="12" t="str">
        <f>IFERROR(VLOOKUP(AN16,DEC!$F$23:$H$38,3,FALSE),"")</f>
        <v/>
      </c>
    </row>
    <row r="17" spans="2:42" ht="13.5" customHeight="1">
      <c r="C17" s="16"/>
      <c r="D17" s="16"/>
      <c r="V17" s="12">
        <v>10</v>
      </c>
      <c r="W17" s="12" t="str">
        <f t="shared" si="2"/>
        <v/>
      </c>
      <c r="X17" s="12" t="str">
        <f t="shared" si="3"/>
        <v/>
      </c>
      <c r="AM17" s="12" t="str">
        <f t="shared" si="0"/>
        <v/>
      </c>
      <c r="AN17" s="12">
        <f t="shared" si="1"/>
        <v>0</v>
      </c>
      <c r="AO17" s="12" t="s">
        <v>158</v>
      </c>
      <c r="AP17" s="12" t="str">
        <f>IFERROR(VLOOKUP(AN17,DEC!$F$23:$H$38,3,FALSE),"")</f>
        <v/>
      </c>
    </row>
    <row r="18" spans="2:42" ht="13.5" customHeight="1">
      <c r="V18" s="12">
        <v>11</v>
      </c>
      <c r="W18" s="12" t="str">
        <f t="shared" si="2"/>
        <v/>
      </c>
      <c r="X18" s="12" t="str">
        <f t="shared" si="3"/>
        <v/>
      </c>
      <c r="AM18" s="12" t="str">
        <f t="shared" si="0"/>
        <v/>
      </c>
      <c r="AN18" s="12">
        <f t="shared" si="1"/>
        <v>0</v>
      </c>
      <c r="AO18" s="12" t="s">
        <v>158</v>
      </c>
      <c r="AP18" s="12" t="str">
        <f>IFERROR(VLOOKUP(AN18,DEC!$F$23:$H$38,3,FALSE),"")</f>
        <v/>
      </c>
    </row>
    <row r="19" spans="2:42" ht="14.25" customHeight="1">
      <c r="AM19" s="12" t="str">
        <f t="shared" si="0"/>
        <v/>
      </c>
      <c r="AN19" s="12">
        <f t="shared" ref="AN19:AN34" si="5">K23</f>
        <v>0</v>
      </c>
      <c r="AO19" s="12" t="s">
        <v>159</v>
      </c>
      <c r="AP19" s="12" t="str">
        <f>IFERROR(VLOOKUP(AN19,DEC!$K$23:$M$38,3,FALSE),"")</f>
        <v/>
      </c>
    </row>
    <row r="20" spans="2:42" ht="14.25" customHeight="1">
      <c r="B20" s="29" t="s">
        <v>157</v>
      </c>
      <c r="C20" s="30"/>
      <c r="D20" s="25"/>
      <c r="F20" s="29" t="s">
        <v>158</v>
      </c>
      <c r="G20" s="30"/>
      <c r="H20" s="30"/>
      <c r="I20" s="25"/>
      <c r="K20" s="29" t="s">
        <v>159</v>
      </c>
      <c r="L20" s="30"/>
      <c r="M20" s="30"/>
      <c r="N20" s="25"/>
      <c r="P20" s="49" t="s">
        <v>160</v>
      </c>
      <c r="Q20" s="30"/>
      <c r="R20" s="30"/>
      <c r="S20" s="25"/>
      <c r="U20" s="34" t="s">
        <v>161</v>
      </c>
      <c r="V20" s="30"/>
      <c r="W20" s="30"/>
      <c r="X20" s="25"/>
      <c r="AM20" s="12" t="str">
        <f t="shared" si="0"/>
        <v/>
      </c>
      <c r="AN20" s="12">
        <f t="shared" si="5"/>
        <v>0</v>
      </c>
      <c r="AO20" s="12" t="s">
        <v>159</v>
      </c>
      <c r="AP20" s="12" t="str">
        <f>IFERROR(VLOOKUP(AN20,DEC!$K$23:$M$38,3,FALSE),"")</f>
        <v/>
      </c>
    </row>
    <row r="21" spans="2:42" ht="14.25" customHeight="1">
      <c r="B21" s="35"/>
      <c r="C21" s="36"/>
      <c r="D21" s="37"/>
      <c r="F21" s="35"/>
      <c r="G21" s="36"/>
      <c r="H21" s="36"/>
      <c r="I21" s="37"/>
      <c r="K21" s="35"/>
      <c r="L21" s="36"/>
      <c r="M21" s="36"/>
      <c r="N21" s="37"/>
      <c r="P21" s="35"/>
      <c r="Q21" s="36"/>
      <c r="R21" s="36"/>
      <c r="S21" s="37"/>
      <c r="U21" s="35"/>
      <c r="V21" s="36"/>
      <c r="W21" s="36"/>
      <c r="X21" s="37"/>
      <c r="AM21" s="12" t="str">
        <f t="shared" si="0"/>
        <v/>
      </c>
      <c r="AN21" s="12">
        <f t="shared" si="5"/>
        <v>0</v>
      </c>
      <c r="AO21" s="12" t="s">
        <v>159</v>
      </c>
      <c r="AP21" s="12" t="str">
        <f>IFERROR(VLOOKUP(AN21,DEC!$K$23:$M$38,3,FALSE),"")</f>
        <v/>
      </c>
    </row>
    <row r="22" spans="2:42" ht="14.25" customHeight="1">
      <c r="B22" s="15" t="s">
        <v>173</v>
      </c>
      <c r="C22" s="10" t="s">
        <v>170</v>
      </c>
      <c r="D22" s="23" t="s">
        <v>171</v>
      </c>
      <c r="F22" s="15" t="s">
        <v>173</v>
      </c>
      <c r="G22" s="10" t="s">
        <v>170</v>
      </c>
      <c r="H22" s="10" t="s">
        <v>171</v>
      </c>
      <c r="I22" s="23" t="s">
        <v>174</v>
      </c>
      <c r="K22" s="15" t="s">
        <v>173</v>
      </c>
      <c r="L22" s="10" t="s">
        <v>170</v>
      </c>
      <c r="M22" s="10" t="s">
        <v>171</v>
      </c>
      <c r="N22" s="23" t="s">
        <v>174</v>
      </c>
      <c r="P22" s="15" t="s">
        <v>173</v>
      </c>
      <c r="Q22" s="10" t="s">
        <v>170</v>
      </c>
      <c r="R22" s="10" t="s">
        <v>171</v>
      </c>
      <c r="S22" s="23" t="s">
        <v>174</v>
      </c>
      <c r="U22" s="15" t="s">
        <v>173</v>
      </c>
      <c r="V22" s="10" t="s">
        <v>170</v>
      </c>
      <c r="W22" s="10" t="s">
        <v>171</v>
      </c>
      <c r="X22" s="23" t="s">
        <v>174</v>
      </c>
      <c r="AM22" s="12" t="str">
        <f t="shared" si="0"/>
        <v/>
      </c>
      <c r="AN22" s="12">
        <f t="shared" si="5"/>
        <v>0</v>
      </c>
      <c r="AO22" s="12" t="s">
        <v>159</v>
      </c>
      <c r="AP22" s="12" t="str">
        <f>IFERROR(VLOOKUP(AN22,DEC!$K$23:$M$38,3,FALSE),"")</f>
        <v/>
      </c>
    </row>
    <row r="23" spans="2:42" ht="14.25" customHeight="1">
      <c r="B23" s="15"/>
      <c r="C23" s="16"/>
      <c r="D23" s="17"/>
      <c r="F23" s="15"/>
      <c r="G23" s="16"/>
      <c r="H23" s="16"/>
      <c r="I23" s="17">
        <f>DEC!$G23-DEC!$H23</f>
        <v>0</v>
      </c>
      <c r="K23" s="15"/>
      <c r="L23" s="16"/>
      <c r="M23" s="16"/>
      <c r="N23" s="17">
        <f>DEC!$L23-DEC!$M23</f>
        <v>0</v>
      </c>
      <c r="P23" s="15"/>
      <c r="Q23" s="16"/>
      <c r="R23" s="16"/>
      <c r="S23" s="17">
        <f>DEC!$Q23-DEC!$R23</f>
        <v>0</v>
      </c>
      <c r="U23" s="15"/>
      <c r="V23" s="16"/>
      <c r="W23" s="16"/>
      <c r="X23" s="17">
        <f>DEC!$V23-DEC!$W23</f>
        <v>0</v>
      </c>
      <c r="AM23" s="12" t="str">
        <f t="shared" si="0"/>
        <v/>
      </c>
      <c r="AN23" s="12">
        <f t="shared" si="5"/>
        <v>0</v>
      </c>
      <c r="AO23" s="12" t="s">
        <v>159</v>
      </c>
      <c r="AP23" s="12" t="str">
        <f>IFERROR(VLOOKUP(AN23,DEC!$K$23:$M$38,3,FALSE),"")</f>
        <v/>
      </c>
    </row>
    <row r="24" spans="2:42" ht="14.25" customHeight="1">
      <c r="B24" s="15"/>
      <c r="C24" s="16"/>
      <c r="D24" s="17"/>
      <c r="F24" s="15"/>
      <c r="G24" s="16"/>
      <c r="H24" s="16"/>
      <c r="I24" s="17">
        <f>DEC!$G24-DEC!$H24</f>
        <v>0</v>
      </c>
      <c r="K24" s="15"/>
      <c r="L24" s="16"/>
      <c r="M24" s="16"/>
      <c r="N24" s="17">
        <f>DEC!$L24-DEC!$M24</f>
        <v>0</v>
      </c>
      <c r="P24" s="15"/>
      <c r="Q24" s="16"/>
      <c r="R24" s="16"/>
      <c r="S24" s="17">
        <f>DEC!$Q24-DEC!$R24</f>
        <v>0</v>
      </c>
      <c r="U24" s="15"/>
      <c r="V24" s="16"/>
      <c r="W24" s="16"/>
      <c r="X24" s="17">
        <f>DEC!$V24-DEC!$W24</f>
        <v>0</v>
      </c>
      <c r="AM24" s="12" t="str">
        <f t="shared" si="0"/>
        <v/>
      </c>
      <c r="AN24" s="12">
        <f t="shared" si="5"/>
        <v>0</v>
      </c>
      <c r="AO24" s="12" t="s">
        <v>159</v>
      </c>
      <c r="AP24" s="12" t="str">
        <f>IFERROR(VLOOKUP(AN24,DEC!$K$23:$M$38,3,FALSE),"")</f>
        <v/>
      </c>
    </row>
    <row r="25" spans="2:42" ht="14.25" customHeight="1">
      <c r="B25" s="15"/>
      <c r="C25" s="16"/>
      <c r="D25" s="17"/>
      <c r="F25" s="15"/>
      <c r="G25" s="16"/>
      <c r="H25" s="16"/>
      <c r="I25" s="17">
        <f>DEC!$G25-DEC!$H25</f>
        <v>0</v>
      </c>
      <c r="K25" s="15"/>
      <c r="L25" s="16"/>
      <c r="M25" s="16"/>
      <c r="N25" s="17">
        <f>DEC!$L25-DEC!$M25</f>
        <v>0</v>
      </c>
      <c r="P25" s="15"/>
      <c r="Q25" s="16"/>
      <c r="R25" s="16"/>
      <c r="S25" s="17">
        <f>DEC!$Q25-DEC!$R25</f>
        <v>0</v>
      </c>
      <c r="U25" s="15"/>
      <c r="V25" s="16"/>
      <c r="W25" s="16"/>
      <c r="X25" s="17">
        <f>DEC!$V25-DEC!$W25</f>
        <v>0</v>
      </c>
      <c r="AM25" s="12" t="str">
        <f t="shared" si="0"/>
        <v/>
      </c>
      <c r="AN25" s="12">
        <f t="shared" si="5"/>
        <v>0</v>
      </c>
      <c r="AO25" s="12" t="s">
        <v>159</v>
      </c>
      <c r="AP25" s="12" t="str">
        <f>IFERROR(VLOOKUP(AN25,DEC!$K$23:$M$38,3,FALSE),"")</f>
        <v/>
      </c>
    </row>
    <row r="26" spans="2:42" ht="14.25" customHeight="1">
      <c r="B26" s="15"/>
      <c r="C26" s="16"/>
      <c r="D26" s="17"/>
      <c r="F26" s="15"/>
      <c r="G26" s="16"/>
      <c r="H26" s="16"/>
      <c r="I26" s="17">
        <f>DEC!$G26-DEC!$H26</f>
        <v>0</v>
      </c>
      <c r="K26" s="15"/>
      <c r="L26" s="16"/>
      <c r="M26" s="16"/>
      <c r="N26" s="17">
        <f>DEC!$L26-DEC!$M26</f>
        <v>0</v>
      </c>
      <c r="P26" s="15"/>
      <c r="Q26" s="16"/>
      <c r="R26" s="16"/>
      <c r="S26" s="17">
        <f>DEC!$Q26-DEC!$R26</f>
        <v>0</v>
      </c>
      <c r="U26" s="15"/>
      <c r="V26" s="16"/>
      <c r="W26" s="16"/>
      <c r="X26" s="17">
        <f>DEC!$V26-DEC!$W26</f>
        <v>0</v>
      </c>
      <c r="AM26" s="12" t="str">
        <f t="shared" si="0"/>
        <v/>
      </c>
      <c r="AN26" s="12">
        <f t="shared" si="5"/>
        <v>0</v>
      </c>
      <c r="AO26" s="12" t="s">
        <v>159</v>
      </c>
      <c r="AP26" s="12" t="str">
        <f>IFERROR(VLOOKUP(AN26,DEC!$K$23:$M$38,3,FALSE),"")</f>
        <v/>
      </c>
    </row>
    <row r="27" spans="2:42" ht="14.25" customHeight="1">
      <c r="B27" s="15"/>
      <c r="C27" s="16"/>
      <c r="D27" s="17"/>
      <c r="F27" s="15"/>
      <c r="G27" s="16"/>
      <c r="H27" s="16"/>
      <c r="I27" s="17">
        <f>DEC!$G27-DEC!$H27</f>
        <v>0</v>
      </c>
      <c r="K27" s="15"/>
      <c r="L27" s="16"/>
      <c r="M27" s="16"/>
      <c r="N27" s="17">
        <f>DEC!$L27-DEC!$M27</f>
        <v>0</v>
      </c>
      <c r="P27" s="15"/>
      <c r="Q27" s="16"/>
      <c r="R27" s="16"/>
      <c r="S27" s="17">
        <f>DEC!$Q27-DEC!$R27</f>
        <v>0</v>
      </c>
      <c r="U27" s="15"/>
      <c r="V27" s="16"/>
      <c r="W27" s="16"/>
      <c r="X27" s="17">
        <f>DEC!$V27-DEC!$W27</f>
        <v>0</v>
      </c>
      <c r="AM27" s="12" t="str">
        <f t="shared" si="0"/>
        <v/>
      </c>
      <c r="AN27" s="12">
        <f t="shared" si="5"/>
        <v>0</v>
      </c>
      <c r="AO27" s="12" t="s">
        <v>159</v>
      </c>
      <c r="AP27" s="12" t="str">
        <f>IFERROR(VLOOKUP(AN27,DEC!$K$23:$M$38,3,FALSE),"")</f>
        <v/>
      </c>
    </row>
    <row r="28" spans="2:42" ht="14.25" customHeight="1">
      <c r="B28" s="15"/>
      <c r="C28" s="16"/>
      <c r="D28" s="17"/>
      <c r="F28" s="15"/>
      <c r="G28" s="16"/>
      <c r="H28" s="16"/>
      <c r="I28" s="17">
        <f>DEC!$G28-DEC!$H28</f>
        <v>0</v>
      </c>
      <c r="K28" s="15"/>
      <c r="L28" s="16"/>
      <c r="M28" s="16"/>
      <c r="N28" s="17">
        <f>DEC!$L28-DEC!$M28</f>
        <v>0</v>
      </c>
      <c r="P28" s="15"/>
      <c r="Q28" s="16"/>
      <c r="R28" s="16"/>
      <c r="S28" s="17">
        <f>DEC!$Q28-DEC!$R28</f>
        <v>0</v>
      </c>
      <c r="U28" s="15"/>
      <c r="V28" s="16"/>
      <c r="W28" s="16"/>
      <c r="X28" s="17">
        <f>DEC!$V28-DEC!$W28</f>
        <v>0</v>
      </c>
      <c r="AM28" s="12" t="str">
        <f t="shared" si="0"/>
        <v/>
      </c>
      <c r="AN28" s="12">
        <f t="shared" si="5"/>
        <v>0</v>
      </c>
      <c r="AO28" s="12" t="s">
        <v>159</v>
      </c>
      <c r="AP28" s="12" t="str">
        <f>IFERROR(VLOOKUP(AN28,DEC!$K$23:$M$38,3,FALSE),"")</f>
        <v/>
      </c>
    </row>
    <row r="29" spans="2:42" ht="14.25" customHeight="1">
      <c r="B29" s="15"/>
      <c r="C29" s="16"/>
      <c r="D29" s="17"/>
      <c r="F29" s="15"/>
      <c r="G29" s="16"/>
      <c r="H29" s="16"/>
      <c r="I29" s="17">
        <f>DEC!$G29-DEC!$H29</f>
        <v>0</v>
      </c>
      <c r="K29" s="15"/>
      <c r="L29" s="16"/>
      <c r="M29" s="16"/>
      <c r="N29" s="17">
        <f>DEC!$L29-DEC!$M29</f>
        <v>0</v>
      </c>
      <c r="P29" s="15"/>
      <c r="Q29" s="16"/>
      <c r="R29" s="16"/>
      <c r="S29" s="17">
        <f>DEC!$Q29-DEC!$R29</f>
        <v>0</v>
      </c>
      <c r="U29" s="15"/>
      <c r="V29" s="16"/>
      <c r="W29" s="16"/>
      <c r="X29" s="17">
        <f>DEC!$V29-DEC!$W29</f>
        <v>0</v>
      </c>
      <c r="AM29" s="12" t="str">
        <f t="shared" si="0"/>
        <v/>
      </c>
      <c r="AN29" s="12">
        <f t="shared" si="5"/>
        <v>0</v>
      </c>
      <c r="AO29" s="12" t="s">
        <v>159</v>
      </c>
      <c r="AP29" s="12" t="str">
        <f>IFERROR(VLOOKUP(AN29,DEC!$K$23:$M$38,3,FALSE),"")</f>
        <v/>
      </c>
    </row>
    <row r="30" spans="2:42" ht="14.25" customHeight="1">
      <c r="B30" s="15"/>
      <c r="C30" s="16"/>
      <c r="D30" s="17"/>
      <c r="F30" s="15"/>
      <c r="G30" s="16"/>
      <c r="H30" s="16"/>
      <c r="I30" s="17">
        <f>DEC!$G30-DEC!$H30</f>
        <v>0</v>
      </c>
      <c r="K30" s="15"/>
      <c r="L30" s="16"/>
      <c r="M30" s="16"/>
      <c r="N30" s="17">
        <f>DEC!$L30-DEC!$M30</f>
        <v>0</v>
      </c>
      <c r="P30" s="15"/>
      <c r="Q30" s="16"/>
      <c r="R30" s="16"/>
      <c r="S30" s="17">
        <f>DEC!$Q30-DEC!$R30</f>
        <v>0</v>
      </c>
      <c r="U30" s="15"/>
      <c r="V30" s="16"/>
      <c r="W30" s="16"/>
      <c r="X30" s="17">
        <f>DEC!$V30-DEC!$W30</f>
        <v>0</v>
      </c>
      <c r="AM30" s="12" t="str">
        <f t="shared" si="0"/>
        <v/>
      </c>
      <c r="AN30" s="12">
        <f t="shared" si="5"/>
        <v>0</v>
      </c>
      <c r="AO30" s="12" t="s">
        <v>159</v>
      </c>
      <c r="AP30" s="12" t="str">
        <f>IFERROR(VLOOKUP(AN30,DEC!$K$23:$M$38,3,FALSE),"")</f>
        <v/>
      </c>
    </row>
    <row r="31" spans="2:42" ht="14.25" customHeight="1">
      <c r="B31" s="15"/>
      <c r="C31" s="16"/>
      <c r="D31" s="17"/>
      <c r="F31" s="15"/>
      <c r="G31" s="16"/>
      <c r="H31" s="16"/>
      <c r="I31" s="17">
        <f>DEC!$G31-DEC!$H31</f>
        <v>0</v>
      </c>
      <c r="K31" s="15"/>
      <c r="L31" s="16"/>
      <c r="M31" s="16"/>
      <c r="N31" s="17">
        <f>DEC!$L31-DEC!$M31</f>
        <v>0</v>
      </c>
      <c r="P31" s="15"/>
      <c r="Q31" s="16"/>
      <c r="R31" s="16"/>
      <c r="S31" s="17">
        <f>DEC!$Q31-DEC!$R31</f>
        <v>0</v>
      </c>
      <c r="U31" s="15"/>
      <c r="V31" s="16"/>
      <c r="W31" s="16"/>
      <c r="X31" s="17">
        <f>DEC!$V31-DEC!$W31</f>
        <v>0</v>
      </c>
      <c r="AM31" s="12" t="str">
        <f t="shared" si="0"/>
        <v/>
      </c>
      <c r="AN31" s="12">
        <f t="shared" si="5"/>
        <v>0</v>
      </c>
      <c r="AO31" s="12" t="s">
        <v>159</v>
      </c>
      <c r="AP31" s="12" t="str">
        <f>IFERROR(VLOOKUP(AN31,DEC!$K$23:$M$38,3,FALSE),"")</f>
        <v/>
      </c>
    </row>
    <row r="32" spans="2:42" ht="14.25" customHeight="1">
      <c r="B32" s="15"/>
      <c r="C32" s="16"/>
      <c r="D32" s="17"/>
      <c r="F32" s="15"/>
      <c r="G32" s="16"/>
      <c r="H32" s="16"/>
      <c r="I32" s="17">
        <f>DEC!$G32-DEC!$H32</f>
        <v>0</v>
      </c>
      <c r="K32" s="15"/>
      <c r="L32" s="16"/>
      <c r="M32" s="16"/>
      <c r="N32" s="17">
        <f>DEC!$L32-DEC!$M32</f>
        <v>0</v>
      </c>
      <c r="P32" s="15"/>
      <c r="Q32" s="16"/>
      <c r="R32" s="16"/>
      <c r="S32" s="17">
        <f>DEC!$Q32-DEC!$R32</f>
        <v>0</v>
      </c>
      <c r="U32" s="15"/>
      <c r="V32" s="16"/>
      <c r="W32" s="16"/>
      <c r="X32" s="17">
        <f>DEC!$V32-DEC!$W32</f>
        <v>0</v>
      </c>
      <c r="AM32" s="12" t="str">
        <f t="shared" si="0"/>
        <v/>
      </c>
      <c r="AN32" s="12">
        <f t="shared" si="5"/>
        <v>0</v>
      </c>
      <c r="AO32" s="12" t="s">
        <v>159</v>
      </c>
      <c r="AP32" s="12" t="str">
        <f>IFERROR(VLOOKUP(AN32,DEC!$K$23:$M$38,3,FALSE),"")</f>
        <v/>
      </c>
    </row>
    <row r="33" spans="2:42" ht="14.25" customHeight="1">
      <c r="B33" s="15"/>
      <c r="C33" s="16"/>
      <c r="D33" s="17"/>
      <c r="F33" s="15"/>
      <c r="G33" s="16"/>
      <c r="H33" s="16"/>
      <c r="I33" s="17">
        <f>DEC!$G33-DEC!$H33</f>
        <v>0</v>
      </c>
      <c r="K33" s="15"/>
      <c r="L33" s="16"/>
      <c r="M33" s="16"/>
      <c r="N33" s="17">
        <f>DEC!$L33-DEC!$M33</f>
        <v>0</v>
      </c>
      <c r="P33" s="15"/>
      <c r="Q33" s="16"/>
      <c r="R33" s="16"/>
      <c r="S33" s="17">
        <f>DEC!$Q33-DEC!$R33</f>
        <v>0</v>
      </c>
      <c r="U33" s="15"/>
      <c r="V33" s="16"/>
      <c r="W33" s="16"/>
      <c r="X33" s="17">
        <f>DEC!$V33-DEC!$W33</f>
        <v>0</v>
      </c>
      <c r="AM33" s="12" t="str">
        <f t="shared" si="0"/>
        <v/>
      </c>
      <c r="AN33" s="12">
        <f t="shared" si="5"/>
        <v>0</v>
      </c>
      <c r="AO33" s="12" t="s">
        <v>159</v>
      </c>
      <c r="AP33" s="12" t="str">
        <f>IFERROR(VLOOKUP(AN33,DEC!$K$23:$M$38,3,FALSE),"")</f>
        <v/>
      </c>
    </row>
    <row r="34" spans="2:42" ht="14.25" customHeight="1">
      <c r="B34" s="15"/>
      <c r="C34" s="16"/>
      <c r="D34" s="17"/>
      <c r="F34" s="15"/>
      <c r="G34" s="16"/>
      <c r="H34" s="16"/>
      <c r="I34" s="17">
        <f>DEC!$G34-DEC!$H34</f>
        <v>0</v>
      </c>
      <c r="K34" s="15"/>
      <c r="L34" s="16"/>
      <c r="M34" s="16"/>
      <c r="N34" s="17">
        <f>DEC!$L34-DEC!$M34</f>
        <v>0</v>
      </c>
      <c r="P34" s="15"/>
      <c r="Q34" s="16"/>
      <c r="R34" s="16"/>
      <c r="S34" s="17">
        <f>DEC!$Q34-DEC!$R34</f>
        <v>0</v>
      </c>
      <c r="U34" s="15"/>
      <c r="V34" s="16"/>
      <c r="W34" s="16"/>
      <c r="X34" s="17">
        <f>DEC!$V34-DEC!$W34</f>
        <v>0</v>
      </c>
      <c r="AM34" s="12" t="str">
        <f t="shared" si="0"/>
        <v/>
      </c>
      <c r="AN34" s="12">
        <f t="shared" si="5"/>
        <v>0</v>
      </c>
      <c r="AO34" s="12" t="s">
        <v>175</v>
      </c>
      <c r="AP34" s="12" t="str">
        <f>IFERROR(VLOOKUP(AN34,DEC!$K$23:$M$38,3,FALSE),"")</f>
        <v/>
      </c>
    </row>
    <row r="35" spans="2:42" ht="14.25" customHeight="1">
      <c r="B35" s="15"/>
      <c r="C35" s="16"/>
      <c r="D35" s="17"/>
      <c r="F35" s="15"/>
      <c r="G35" s="16"/>
      <c r="H35" s="16"/>
      <c r="I35" s="17">
        <f>DEC!$G35-DEC!$H35</f>
        <v>0</v>
      </c>
      <c r="K35" s="15"/>
      <c r="L35" s="16"/>
      <c r="M35" s="16"/>
      <c r="N35" s="17">
        <f>DEC!$L35-DEC!$M35</f>
        <v>0</v>
      </c>
      <c r="P35" s="15"/>
      <c r="Q35" s="16"/>
      <c r="R35" s="16"/>
      <c r="S35" s="17">
        <f>DEC!$Q35-DEC!$R35</f>
        <v>0</v>
      </c>
      <c r="U35" s="15"/>
      <c r="V35" s="16"/>
      <c r="W35" s="16"/>
      <c r="X35" s="17">
        <f>DEC!$V35-DEC!$W35</f>
        <v>0</v>
      </c>
      <c r="AM35" s="12" t="str">
        <f t="shared" si="0"/>
        <v/>
      </c>
      <c r="AN35" s="12">
        <f t="shared" ref="AN35:AN49" si="6">P23</f>
        <v>0</v>
      </c>
      <c r="AO35" s="12" t="s">
        <v>175</v>
      </c>
      <c r="AP35" s="12" t="str">
        <f>IFERROR(VLOOKUP(AN35,DEC!$P$23:$R$38,3,FALSE),"")</f>
        <v/>
      </c>
    </row>
    <row r="36" spans="2:42" ht="14.25" customHeight="1">
      <c r="B36" s="15"/>
      <c r="C36" s="16"/>
      <c r="D36" s="17"/>
      <c r="F36" s="15"/>
      <c r="G36" s="16"/>
      <c r="H36" s="16"/>
      <c r="I36" s="17">
        <f>DEC!$G36-DEC!$H36</f>
        <v>0</v>
      </c>
      <c r="K36" s="15"/>
      <c r="L36" s="16"/>
      <c r="M36" s="16"/>
      <c r="N36" s="17">
        <f>DEC!$L36-DEC!$M36</f>
        <v>0</v>
      </c>
      <c r="P36" s="15"/>
      <c r="Q36" s="16"/>
      <c r="R36" s="16"/>
      <c r="S36" s="17">
        <f>DEC!$Q36-DEC!$R36</f>
        <v>0</v>
      </c>
      <c r="U36" s="15"/>
      <c r="V36" s="16"/>
      <c r="W36" s="16"/>
      <c r="X36" s="17">
        <f>DEC!$V36-DEC!$W36</f>
        <v>0</v>
      </c>
      <c r="AM36" s="12" t="str">
        <f t="shared" si="0"/>
        <v/>
      </c>
      <c r="AN36" s="12">
        <f t="shared" si="6"/>
        <v>0</v>
      </c>
      <c r="AO36" s="12" t="s">
        <v>175</v>
      </c>
      <c r="AP36" s="12" t="str">
        <f>IFERROR(VLOOKUP(AN36,DEC!$P$23:$R$38,3,FALSE),"")</f>
        <v/>
      </c>
    </row>
    <row r="37" spans="2:42" ht="14.25" customHeight="1">
      <c r="B37" s="15"/>
      <c r="C37" s="16"/>
      <c r="D37" s="17"/>
      <c r="F37" s="15"/>
      <c r="G37" s="16"/>
      <c r="H37" s="16"/>
      <c r="I37" s="17">
        <f>DEC!$G37-DEC!$H37</f>
        <v>0</v>
      </c>
      <c r="K37" s="15"/>
      <c r="L37" s="16"/>
      <c r="M37" s="16"/>
      <c r="N37" s="17">
        <f>DEC!$L37-DEC!$M37</f>
        <v>0</v>
      </c>
      <c r="P37" s="15"/>
      <c r="Q37" s="16"/>
      <c r="R37" s="16"/>
      <c r="S37" s="17">
        <f>DEC!$Q37-DEC!$R37</f>
        <v>0</v>
      </c>
      <c r="U37" s="15"/>
      <c r="V37" s="16"/>
      <c r="W37" s="16"/>
      <c r="X37" s="17">
        <f>DEC!$V37-DEC!$W37</f>
        <v>0</v>
      </c>
      <c r="AM37" s="12" t="str">
        <f t="shared" si="0"/>
        <v/>
      </c>
      <c r="AN37" s="12">
        <f t="shared" si="6"/>
        <v>0</v>
      </c>
      <c r="AO37" s="12" t="s">
        <v>175</v>
      </c>
      <c r="AP37" s="12" t="str">
        <f>IFERROR(VLOOKUP(AN37,DEC!$P$23:$R$38,3,FALSE),"")</f>
        <v/>
      </c>
    </row>
    <row r="38" spans="2:42" ht="14.25" customHeight="1">
      <c r="B38" s="18"/>
      <c r="C38" s="19"/>
      <c r="D38" s="20"/>
      <c r="F38" s="18"/>
      <c r="G38" s="19"/>
      <c r="H38" s="19"/>
      <c r="I38" s="20">
        <f>DEC!$G38-DEC!$H38</f>
        <v>0</v>
      </c>
      <c r="K38" s="18"/>
      <c r="L38" s="19"/>
      <c r="M38" s="19"/>
      <c r="N38" s="20">
        <f>DEC!$L38-DEC!$M38</f>
        <v>0</v>
      </c>
      <c r="P38" s="18"/>
      <c r="Q38" s="19"/>
      <c r="R38" s="19"/>
      <c r="S38" s="20">
        <f>DEC!$Q38-DEC!$R38</f>
        <v>0</v>
      </c>
      <c r="U38" s="18"/>
      <c r="V38" s="19"/>
      <c r="W38" s="19"/>
      <c r="X38" s="20">
        <f>DEC!$V38-DEC!$W38</f>
        <v>0</v>
      </c>
      <c r="AM38" s="12" t="str">
        <f t="shared" si="0"/>
        <v/>
      </c>
      <c r="AN38" s="12">
        <f t="shared" si="6"/>
        <v>0</v>
      </c>
      <c r="AO38" s="12" t="s">
        <v>175</v>
      </c>
      <c r="AP38" s="12" t="str">
        <f>IFERROR(VLOOKUP(AN38,DEC!$P$23:$R$38,3,FALSE),"")</f>
        <v/>
      </c>
    </row>
    <row r="39" spans="2:42" ht="14.25" customHeight="1">
      <c r="AM39" s="12" t="str">
        <f t="shared" si="0"/>
        <v/>
      </c>
      <c r="AN39" s="12">
        <f t="shared" si="6"/>
        <v>0</v>
      </c>
      <c r="AO39" s="12" t="s">
        <v>175</v>
      </c>
      <c r="AP39" s="12" t="str">
        <f>IFERROR(VLOOKUP(AN39,DEC!$P$23:$R$38,3,FALSE),"")</f>
        <v/>
      </c>
    </row>
    <row r="40" spans="2:42" ht="14.25" customHeight="1">
      <c r="AM40" s="12" t="str">
        <f t="shared" si="0"/>
        <v/>
      </c>
      <c r="AN40" s="12">
        <f t="shared" si="6"/>
        <v>0</v>
      </c>
      <c r="AO40" s="12" t="s">
        <v>175</v>
      </c>
      <c r="AP40" s="12" t="str">
        <f>IFERROR(VLOOKUP(AN40,DEC!$P$23:$R$38,3,FALSE),"")</f>
        <v/>
      </c>
    </row>
    <row r="41" spans="2:42" ht="14.25" customHeight="1">
      <c r="AM41" s="12" t="str">
        <f t="shared" si="0"/>
        <v/>
      </c>
      <c r="AN41" s="12">
        <f t="shared" si="6"/>
        <v>0</v>
      </c>
      <c r="AO41" s="12" t="s">
        <v>175</v>
      </c>
      <c r="AP41" s="12" t="str">
        <f>IFERROR(VLOOKUP(AN41,DEC!$P$23:$R$38,3,FALSE),"")</f>
        <v/>
      </c>
    </row>
    <row r="42" spans="2:42" ht="14.25" customHeight="1">
      <c r="AM42" s="12" t="str">
        <f t="shared" si="0"/>
        <v/>
      </c>
      <c r="AN42" s="12">
        <f t="shared" si="6"/>
        <v>0</v>
      </c>
      <c r="AO42" s="12" t="s">
        <v>175</v>
      </c>
      <c r="AP42" s="12" t="str">
        <f>IFERROR(VLOOKUP(AN42,DEC!$P$23:$R$38,3,FALSE),"")</f>
        <v/>
      </c>
    </row>
    <row r="43" spans="2:42" ht="14.25" customHeight="1">
      <c r="AM43" s="12" t="str">
        <f t="shared" si="0"/>
        <v/>
      </c>
      <c r="AN43" s="12">
        <f t="shared" si="6"/>
        <v>0</v>
      </c>
      <c r="AO43" s="12" t="s">
        <v>175</v>
      </c>
      <c r="AP43" s="12" t="str">
        <f>IFERROR(VLOOKUP(AN43,DEC!$P$23:$R$38,3,FALSE),"")</f>
        <v/>
      </c>
    </row>
    <row r="44" spans="2:42" ht="14.25" customHeight="1">
      <c r="AM44" s="12" t="str">
        <f t="shared" si="0"/>
        <v/>
      </c>
      <c r="AN44" s="12">
        <f t="shared" si="6"/>
        <v>0</v>
      </c>
      <c r="AO44" s="12" t="s">
        <v>175</v>
      </c>
      <c r="AP44" s="12" t="str">
        <f>IFERROR(VLOOKUP(AN44,DEC!$P$23:$R$38,3,FALSE),"")</f>
        <v/>
      </c>
    </row>
    <row r="45" spans="2:42" ht="14.25" customHeight="1">
      <c r="AM45" s="12" t="str">
        <f t="shared" si="0"/>
        <v/>
      </c>
      <c r="AN45" s="12">
        <f t="shared" si="6"/>
        <v>0</v>
      </c>
      <c r="AO45" s="12" t="s">
        <v>175</v>
      </c>
      <c r="AP45" s="12" t="str">
        <f>IFERROR(VLOOKUP(AN45,DEC!$P$23:$R$38,3,FALSE),"")</f>
        <v/>
      </c>
    </row>
    <row r="46" spans="2:42" ht="14.25" customHeight="1">
      <c r="AM46" s="12" t="str">
        <f t="shared" si="0"/>
        <v/>
      </c>
      <c r="AN46" s="12">
        <f t="shared" si="6"/>
        <v>0</v>
      </c>
      <c r="AO46" s="12" t="s">
        <v>175</v>
      </c>
      <c r="AP46" s="12" t="str">
        <f>IFERROR(VLOOKUP(AN46,DEC!$P$23:$R$38,3,FALSE),"")</f>
        <v/>
      </c>
    </row>
    <row r="47" spans="2:42" ht="14.25" customHeight="1">
      <c r="AM47" s="12" t="str">
        <f t="shared" si="0"/>
        <v/>
      </c>
      <c r="AN47" s="12">
        <f t="shared" si="6"/>
        <v>0</v>
      </c>
      <c r="AO47" s="12" t="s">
        <v>175</v>
      </c>
      <c r="AP47" s="12" t="str">
        <f>IFERROR(VLOOKUP(AN47,DEC!$P$23:$R$38,3,FALSE),"")</f>
        <v/>
      </c>
    </row>
    <row r="48" spans="2:42" ht="14.25" customHeight="1">
      <c r="AM48" s="12" t="str">
        <f t="shared" si="0"/>
        <v/>
      </c>
      <c r="AN48" s="12">
        <f t="shared" si="6"/>
        <v>0</v>
      </c>
      <c r="AO48" s="12" t="s">
        <v>175</v>
      </c>
      <c r="AP48" s="12" t="str">
        <f>IFERROR(VLOOKUP(AN48,DEC!$P$23:$R$38,3,FALSE),"")</f>
        <v/>
      </c>
    </row>
    <row r="49" spans="39:42" ht="14.25" customHeight="1">
      <c r="AM49" s="12" t="str">
        <f t="shared" si="0"/>
        <v/>
      </c>
      <c r="AN49" s="12">
        <f t="shared" si="6"/>
        <v>0</v>
      </c>
      <c r="AO49" s="12" t="s">
        <v>161</v>
      </c>
      <c r="AP49" s="12" t="str">
        <f>IFERROR(VLOOKUP(AN49,DEC!$P$23:$R$38,3,FALSE),"")</f>
        <v/>
      </c>
    </row>
    <row r="50" spans="39:42" ht="14.25" customHeight="1">
      <c r="AM50" s="12" t="str">
        <f t="shared" si="0"/>
        <v/>
      </c>
      <c r="AN50" s="12">
        <f t="shared" ref="AN50:AN65" si="7">U23</f>
        <v>0</v>
      </c>
      <c r="AO50" s="12" t="s">
        <v>161</v>
      </c>
      <c r="AP50" s="12" t="str">
        <f>IFERROR(VLOOKUP(AN50,DEC!$U$23:$W$38,3,FALSE),"")</f>
        <v/>
      </c>
    </row>
    <row r="51" spans="39:42" ht="14.25" customHeight="1">
      <c r="AM51" s="12" t="str">
        <f t="shared" si="0"/>
        <v/>
      </c>
      <c r="AN51" s="12">
        <f t="shared" si="7"/>
        <v>0</v>
      </c>
      <c r="AO51" s="12" t="s">
        <v>161</v>
      </c>
      <c r="AP51" s="12" t="str">
        <f>IFERROR(VLOOKUP(AN51,DEC!$U$23:$W$38,3,FALSE),"")</f>
        <v/>
      </c>
    </row>
    <row r="52" spans="39:42" ht="14.25" customHeight="1">
      <c r="AM52" s="12" t="str">
        <f t="shared" si="0"/>
        <v/>
      </c>
      <c r="AN52" s="12">
        <f t="shared" si="7"/>
        <v>0</v>
      </c>
      <c r="AO52" s="12" t="s">
        <v>161</v>
      </c>
      <c r="AP52" s="12" t="str">
        <f>IFERROR(VLOOKUP(AN52,DEC!$U$23:$W$38,3,FALSE),"")</f>
        <v/>
      </c>
    </row>
    <row r="53" spans="39:42" ht="14.25" customHeight="1">
      <c r="AM53" s="12" t="str">
        <f t="shared" si="0"/>
        <v/>
      </c>
      <c r="AN53" s="12">
        <f t="shared" si="7"/>
        <v>0</v>
      </c>
      <c r="AO53" s="12" t="s">
        <v>161</v>
      </c>
      <c r="AP53" s="12" t="str">
        <f>IFERROR(VLOOKUP(AN53,DEC!$U$23:$W$38,3,FALSE),"")</f>
        <v/>
      </c>
    </row>
    <row r="54" spans="39:42" ht="14.25" customHeight="1">
      <c r="AM54" s="12" t="str">
        <f t="shared" si="0"/>
        <v/>
      </c>
      <c r="AN54" s="12">
        <f t="shared" si="7"/>
        <v>0</v>
      </c>
      <c r="AO54" s="12" t="s">
        <v>161</v>
      </c>
      <c r="AP54" s="12" t="str">
        <f>IFERROR(VLOOKUP(AN54,DEC!$U$23:$W$38,3,FALSE),"")</f>
        <v/>
      </c>
    </row>
    <row r="55" spans="39:42" ht="14.25" customHeight="1">
      <c r="AM55" s="12" t="str">
        <f t="shared" si="0"/>
        <v/>
      </c>
      <c r="AN55" s="12">
        <f t="shared" si="7"/>
        <v>0</v>
      </c>
      <c r="AO55" s="12" t="s">
        <v>161</v>
      </c>
      <c r="AP55" s="12" t="str">
        <f>IFERROR(VLOOKUP(AN55,DEC!$U$23:$W$38,3,FALSE),"")</f>
        <v/>
      </c>
    </row>
    <row r="56" spans="39:42" ht="14.25" customHeight="1">
      <c r="AM56" s="12" t="str">
        <f t="shared" si="0"/>
        <v/>
      </c>
      <c r="AN56" s="12">
        <f t="shared" si="7"/>
        <v>0</v>
      </c>
      <c r="AO56" s="12" t="s">
        <v>161</v>
      </c>
      <c r="AP56" s="12" t="str">
        <f>IFERROR(VLOOKUP(AN56,DEC!$U$23:$W$38,3,FALSE),"")</f>
        <v/>
      </c>
    </row>
    <row r="57" spans="39:42" ht="14.25" customHeight="1">
      <c r="AM57" s="12" t="str">
        <f t="shared" si="0"/>
        <v/>
      </c>
      <c r="AN57" s="12">
        <f t="shared" si="7"/>
        <v>0</v>
      </c>
      <c r="AO57" s="12" t="s">
        <v>161</v>
      </c>
      <c r="AP57" s="12" t="str">
        <f>IFERROR(VLOOKUP(AN57,DEC!$U$23:$W$38,3,FALSE),"")</f>
        <v/>
      </c>
    </row>
    <row r="58" spans="39:42" ht="14.25" customHeight="1">
      <c r="AM58" s="12" t="str">
        <f t="shared" si="0"/>
        <v/>
      </c>
      <c r="AN58" s="12">
        <f t="shared" si="7"/>
        <v>0</v>
      </c>
      <c r="AO58" s="12" t="s">
        <v>161</v>
      </c>
      <c r="AP58" s="12" t="str">
        <f>IFERROR(VLOOKUP(AN58,DEC!$U$23:$W$38,3,FALSE),"")</f>
        <v/>
      </c>
    </row>
    <row r="59" spans="39:42" ht="14.25" customHeight="1">
      <c r="AM59" s="12" t="str">
        <f t="shared" si="0"/>
        <v/>
      </c>
      <c r="AN59" s="12">
        <f t="shared" si="7"/>
        <v>0</v>
      </c>
      <c r="AO59" s="12" t="s">
        <v>161</v>
      </c>
      <c r="AP59" s="12" t="str">
        <f>IFERROR(VLOOKUP(AN59,DEC!$U$23:$W$38,3,FALSE),"")</f>
        <v/>
      </c>
    </row>
    <row r="60" spans="39:42" ht="14.25" customHeight="1">
      <c r="AM60" s="12" t="str">
        <f t="shared" si="0"/>
        <v/>
      </c>
      <c r="AN60" s="12">
        <f t="shared" si="7"/>
        <v>0</v>
      </c>
      <c r="AO60" s="12" t="s">
        <v>161</v>
      </c>
      <c r="AP60" s="12" t="str">
        <f>IFERROR(VLOOKUP(AN60,DEC!$U$23:$W$38,3,FALSE),"")</f>
        <v/>
      </c>
    </row>
    <row r="61" spans="39:42" ht="14.25" customHeight="1">
      <c r="AM61" s="12" t="str">
        <f t="shared" si="0"/>
        <v/>
      </c>
      <c r="AN61" s="12">
        <f t="shared" si="7"/>
        <v>0</v>
      </c>
      <c r="AO61" s="12" t="s">
        <v>161</v>
      </c>
      <c r="AP61" s="12" t="str">
        <f>IFERROR(VLOOKUP(AN61,DEC!$U$23:$W$38,3,FALSE),"")</f>
        <v/>
      </c>
    </row>
    <row r="62" spans="39:42" ht="14.25" customHeight="1">
      <c r="AM62" s="12" t="str">
        <f t="shared" si="0"/>
        <v/>
      </c>
      <c r="AN62" s="12">
        <f t="shared" si="7"/>
        <v>0</v>
      </c>
      <c r="AO62" s="12" t="s">
        <v>161</v>
      </c>
      <c r="AP62" s="12" t="str">
        <f>IFERROR(VLOOKUP(AN62,DEC!$U$23:$W$38,3,FALSE),"")</f>
        <v/>
      </c>
    </row>
    <row r="63" spans="39:42" ht="14.25" customHeight="1">
      <c r="AM63" s="12" t="str">
        <f t="shared" si="0"/>
        <v/>
      </c>
      <c r="AN63" s="12">
        <f t="shared" si="7"/>
        <v>0</v>
      </c>
      <c r="AO63" s="12" t="s">
        <v>161</v>
      </c>
      <c r="AP63" s="12" t="str">
        <f>IFERROR(VLOOKUP(AN63,DEC!$U$23:$W$38,3,FALSE),"")</f>
        <v/>
      </c>
    </row>
    <row r="64" spans="39:42" ht="14.25" customHeight="1">
      <c r="AM64" s="12" t="str">
        <f t="shared" si="0"/>
        <v/>
      </c>
      <c r="AN64" s="12">
        <f t="shared" si="7"/>
        <v>0</v>
      </c>
      <c r="AO64" s="12" t="s">
        <v>161</v>
      </c>
      <c r="AP64" s="12" t="str">
        <f>IFERROR(VLOOKUP(AN64,DEC!$U$23:$W$38,3,FALSE),"")</f>
        <v/>
      </c>
    </row>
    <row r="65" spans="39:42" ht="14.25" customHeight="1">
      <c r="AM65" s="12" t="str">
        <f t="shared" si="0"/>
        <v/>
      </c>
      <c r="AN65" s="12">
        <f t="shared" si="7"/>
        <v>0</v>
      </c>
      <c r="AO65" s="12" t="s">
        <v>161</v>
      </c>
      <c r="AP65" s="12" t="str">
        <f>IFERROR(VLOOKUP(AN65,DEC!$U$23:$W$38,3,FALSE),"")</f>
        <v/>
      </c>
    </row>
    <row r="66" spans="39:42" ht="14.25" customHeight="1"/>
    <row r="67" spans="39:42" ht="14.25" customHeight="1"/>
    <row r="68" spans="39:42" ht="14.25" customHeight="1"/>
    <row r="69" spans="39:42" ht="14.25" customHeight="1"/>
    <row r="70" spans="39:42" ht="14.25" customHeight="1"/>
    <row r="71" spans="39:42" ht="14.25" customHeight="1"/>
    <row r="72" spans="39:42" ht="14.25" customHeight="1"/>
    <row r="73" spans="39:42" ht="14.25" customHeight="1"/>
    <row r="74" spans="39:42" ht="14.25" customHeight="1"/>
    <row r="75" spans="39:42" ht="14.25" customHeight="1"/>
    <row r="76" spans="39:42" ht="14.25" customHeight="1"/>
    <row r="77" spans="39:42" ht="14.25" customHeight="1"/>
    <row r="78" spans="39:42" ht="14.25" customHeight="1"/>
    <row r="79" spans="39:42" ht="14.25" customHeight="1"/>
    <row r="80" spans="39:42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N2:AP65" xr:uid="{00000000-0009-0000-0000-00000D000000}"/>
  <mergeCells count="18">
    <mergeCell ref="B2:D4"/>
    <mergeCell ref="F2:H3"/>
    <mergeCell ref="J2:L3"/>
    <mergeCell ref="R2:T3"/>
    <mergeCell ref="F4:H5"/>
    <mergeCell ref="J4:L5"/>
    <mergeCell ref="R4:T5"/>
    <mergeCell ref="B5:D5"/>
    <mergeCell ref="B7:D9"/>
    <mergeCell ref="B20:D21"/>
    <mergeCell ref="F20:I21"/>
    <mergeCell ref="K20:N21"/>
    <mergeCell ref="N2:P3"/>
    <mergeCell ref="N4:P5"/>
    <mergeCell ref="V2:X3"/>
    <mergeCell ref="V4:X5"/>
    <mergeCell ref="U20:X21"/>
    <mergeCell ref="P20:S21"/>
  </mergeCells>
  <pageMargins left="0.7" right="0.7" top="0.75" bottom="0.75" header="0" footer="0"/>
  <pageSetup orientation="landscape"/>
  <drawing r:id="rId1"/>
  <tableParts count="5">
    <tablePart r:id="rId2"/>
    <tablePart r:id="rId3"/>
    <tablePart r:id="rId4"/>
    <tablePart r:id="rId5"/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xr:uid="{00000000-0002-0000-0D00-000000000000}">
          <x14:formula1>
            <xm:f>lists!$D$2:$D$21</xm:f>
          </x14:formula1>
          <xm:sqref>P23:P38</xm:sqref>
        </x14:dataValidation>
        <x14:dataValidation type="list" allowBlank="1" showErrorMessage="1" xr:uid="{00000000-0002-0000-0D00-000001000000}">
          <x14:formula1>
            <xm:f>lists!$A$2:$A$35</xm:f>
          </x14:formula1>
          <xm:sqref>B23:B38</xm:sqref>
        </x14:dataValidation>
        <x14:dataValidation type="list" allowBlank="1" showErrorMessage="1" xr:uid="{00000000-0002-0000-0D00-000002000000}">
          <x14:formula1>
            <xm:f>lists!$B$2:$B$24</xm:f>
          </x14:formula1>
          <xm:sqref>F23:F38</xm:sqref>
        </x14:dataValidation>
        <x14:dataValidation type="list" allowBlank="1" showErrorMessage="1" xr:uid="{00000000-0002-0000-0D00-000003000000}">
          <x14:formula1>
            <xm:f>lists!$E$2:$E$25</xm:f>
          </x14:formula1>
          <xm:sqref>U23:U38</xm:sqref>
        </x14:dataValidation>
        <x14:dataValidation type="list" allowBlank="1" showErrorMessage="1" xr:uid="{00000000-0002-0000-0D00-000004000000}">
          <x14:formula1>
            <xm:f>lists!$C$2:$C$32</xm:f>
          </x14:formula1>
          <xm:sqref>K23:K38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YEARLY DASHBOARD</vt:lpstr>
      <vt:lpstr>lists</vt:lpstr>
      <vt:lpstr>JAN</vt:lpstr>
      <vt:lpstr>FEB</vt:lpstr>
      <vt:lpstr>APR</vt:lpstr>
      <vt:lpstr>MAY</vt:lpstr>
      <vt:lpstr>JUN</vt:lpstr>
      <vt:lpstr>JUL</vt:lpstr>
      <vt:lpstr>MAR</vt:lpstr>
      <vt:lpstr>AUG</vt:lpstr>
      <vt:lpstr>SEPT</vt:lpstr>
      <vt:lpstr>OCT</vt:lpstr>
      <vt:lpstr>NOV</vt:lpstr>
      <vt:lpstr>DEC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AXEL BAJOLE</dc:creator>
  <cp:lastModifiedBy>Axel Bajole</cp:lastModifiedBy>
  <dcterms:created xsi:type="dcterms:W3CDTF">2015-06-05T18:17:20Z</dcterms:created>
  <dcterms:modified xsi:type="dcterms:W3CDTF">2025-11-24T21:10:15Z</dcterms:modified>
</cp:coreProperties>
</file>